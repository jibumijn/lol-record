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wnloads\롤내전\"/>
    </mc:Choice>
  </mc:AlternateContent>
  <xr:revisionPtr revIDLastSave="0" documentId="13_ncr:1_{8C7BBD74-3E06-4367-96FA-C1056FBA7E6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시트1" sheetId="1" r:id="rId1"/>
    <sheet name="시트2" sheetId="2" r:id="rId2"/>
  </sheets>
  <definedNames>
    <definedName name="_xlnm._FilterDatabase" localSheetId="1" hidden="1">시트2!$A$2:$L$2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" i="1"/>
  <c r="D3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O2" i="1"/>
  <c r="P2" i="1"/>
  <c r="Q2" i="1"/>
  <c r="R2" i="1"/>
  <c r="V2" i="1"/>
  <c r="AE2" i="1"/>
  <c r="AF2" i="1"/>
  <c r="O3" i="1"/>
  <c r="P3" i="1"/>
  <c r="Q3" i="1"/>
  <c r="R3" i="1"/>
  <c r="AE3" i="1"/>
  <c r="AF3" i="1"/>
  <c r="O4" i="1"/>
  <c r="P4" i="1"/>
  <c r="Q4" i="1"/>
  <c r="R4" i="1"/>
  <c r="AF4" i="1"/>
  <c r="O5" i="1"/>
  <c r="P5" i="1"/>
  <c r="Q5" i="1"/>
  <c r="R5" i="1"/>
  <c r="AF5" i="1"/>
  <c r="O6" i="1"/>
  <c r="P6" i="1"/>
  <c r="Q6" i="1"/>
  <c r="R6" i="1"/>
  <c r="AF6" i="1"/>
  <c r="O7" i="1"/>
  <c r="P7" i="1"/>
  <c r="Q7" i="1"/>
  <c r="R7" i="1"/>
  <c r="AF7" i="1"/>
  <c r="O8" i="1"/>
  <c r="P8" i="1"/>
  <c r="Q8" i="1"/>
  <c r="R8" i="1"/>
  <c r="O9" i="1"/>
  <c r="P9" i="1"/>
  <c r="Q9" i="1"/>
  <c r="R9" i="1"/>
  <c r="O10" i="1"/>
  <c r="P10" i="1"/>
  <c r="Q10" i="1"/>
  <c r="R10" i="1"/>
  <c r="O11" i="1"/>
  <c r="P11" i="1"/>
  <c r="Q11" i="1"/>
  <c r="R11" i="1"/>
  <c r="O12" i="1"/>
  <c r="P12" i="1"/>
  <c r="Q12" i="1"/>
  <c r="R12" i="1"/>
  <c r="O13" i="1"/>
  <c r="P13" i="1"/>
  <c r="Q13" i="1"/>
  <c r="R13" i="1"/>
  <c r="O14" i="1"/>
  <c r="P14" i="1"/>
  <c r="Q14" i="1"/>
  <c r="R14" i="1"/>
  <c r="O15" i="1"/>
  <c r="P15" i="1"/>
  <c r="Q15" i="1"/>
  <c r="R15" i="1"/>
  <c r="O16" i="1"/>
  <c r="P16" i="1"/>
  <c r="Q16" i="1"/>
  <c r="R16" i="1"/>
  <c r="O17" i="1"/>
  <c r="P17" i="1"/>
  <c r="Q17" i="1"/>
  <c r="O18" i="1"/>
  <c r="P18" i="1"/>
  <c r="Q18" i="1"/>
  <c r="O19" i="1"/>
  <c r="P19" i="1"/>
  <c r="O20" i="1"/>
  <c r="P20" i="1"/>
  <c r="O21" i="1"/>
  <c r="P21" i="1"/>
  <c r="O22" i="1"/>
  <c r="P22" i="1"/>
  <c r="AD2" i="1" a="1"/>
  <c r="AD4" i="1" s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AD20" i="1" l="1"/>
  <c r="AD7" i="1"/>
  <c r="AD14" i="1"/>
  <c r="AD10" i="1"/>
  <c r="AD6" i="1"/>
  <c r="AD19" i="1"/>
  <c r="N2" i="1"/>
  <c r="AD11" i="1"/>
  <c r="AD15" i="1"/>
  <c r="AD18" i="1"/>
  <c r="AD3" i="1"/>
  <c r="AD13" i="1"/>
  <c r="AD9" i="1"/>
  <c r="AD17" i="1"/>
  <c r="AD5" i="1"/>
  <c r="AD2" i="1"/>
  <c r="AD22" i="1"/>
  <c r="AD16" i="1"/>
  <c r="AD12" i="1"/>
  <c r="AD8" i="1"/>
  <c r="AD21" i="1"/>
</calcChain>
</file>

<file path=xl/sharedStrings.xml><?xml version="1.0" encoding="utf-8"?>
<sst xmlns="http://schemas.openxmlformats.org/spreadsheetml/2006/main" count="2202" uniqueCount="133">
  <si>
    <t>날짜</t>
  </si>
  <si>
    <t>세트</t>
  </si>
  <si>
    <t>이름</t>
  </si>
  <si>
    <t>라인</t>
  </si>
  <si>
    <t>챔피언</t>
  </si>
  <si>
    <t>킬</t>
  </si>
  <si>
    <t>데스</t>
  </si>
  <si>
    <t>어시스트</t>
  </si>
  <si>
    <t>딜량</t>
  </si>
  <si>
    <t>골드</t>
  </si>
  <si>
    <t>전체승패</t>
  </si>
  <si>
    <t>라인별승률</t>
  </si>
  <si>
    <t>라인챔피언별승률</t>
  </si>
  <si>
    <t>챔프</t>
  </si>
  <si>
    <t>박상호</t>
  </si>
  <si>
    <t>승</t>
  </si>
  <si>
    <t>탑</t>
  </si>
  <si>
    <t>요네</t>
  </si>
  <si>
    <t>미드</t>
  </si>
  <si>
    <t>야스오</t>
  </si>
  <si>
    <t>이세환</t>
  </si>
  <si>
    <t>지범진</t>
  </si>
  <si>
    <t>정글</t>
  </si>
  <si>
    <t>말파이트</t>
  </si>
  <si>
    <t>신드라</t>
  </si>
  <si>
    <t>신동혁</t>
  </si>
  <si>
    <t>피즈</t>
  </si>
  <si>
    <t>정용운</t>
  </si>
  <si>
    <t>원딜</t>
  </si>
  <si>
    <t>카이사</t>
  </si>
  <si>
    <t>서폿</t>
  </si>
  <si>
    <t>파이크</t>
  </si>
  <si>
    <t>임성빈</t>
  </si>
  <si>
    <t>패</t>
  </si>
  <si>
    <t>문도박사</t>
  </si>
  <si>
    <t>심재현</t>
  </si>
  <si>
    <t>사일러스</t>
  </si>
  <si>
    <t>김응민</t>
  </si>
  <si>
    <t>이창호</t>
  </si>
  <si>
    <t>시비르</t>
  </si>
  <si>
    <t>김현수</t>
  </si>
  <si>
    <t>카르마</t>
  </si>
  <si>
    <t>이진건</t>
  </si>
  <si>
    <t>워윅</t>
  </si>
  <si>
    <t>이석구</t>
  </si>
  <si>
    <t>허지녕</t>
  </si>
  <si>
    <t>코르키</t>
  </si>
  <si>
    <t>장동신</t>
  </si>
  <si>
    <t>자이라</t>
  </si>
  <si>
    <t>신현우</t>
  </si>
  <si>
    <t>갈리오</t>
  </si>
  <si>
    <t>천규환</t>
  </si>
  <si>
    <t>브라이어</t>
  </si>
  <si>
    <t>배승진</t>
  </si>
  <si>
    <t>김규철</t>
  </si>
  <si>
    <t>유나라</t>
  </si>
  <si>
    <t>박원준</t>
  </si>
  <si>
    <t>쓰레쉬</t>
  </si>
  <si>
    <t>김광유</t>
  </si>
  <si>
    <t>미스포츈</t>
  </si>
  <si>
    <t>모르가나</t>
  </si>
  <si>
    <t>사이온</t>
  </si>
  <si>
    <t>자르반4세</t>
  </si>
  <si>
    <t>오리아나</t>
  </si>
  <si>
    <t>애쉬</t>
  </si>
  <si>
    <t>브라움</t>
  </si>
  <si>
    <t>쉔</t>
  </si>
  <si>
    <t>아무무</t>
  </si>
  <si>
    <t>리신</t>
  </si>
  <si>
    <t>루시안</t>
  </si>
  <si>
    <t>나미</t>
  </si>
  <si>
    <t>레넥톤</t>
  </si>
  <si>
    <t>다리우스</t>
  </si>
  <si>
    <t>제이스</t>
  </si>
  <si>
    <t>자야</t>
  </si>
  <si>
    <t>라칸</t>
  </si>
  <si>
    <t>럼블</t>
  </si>
  <si>
    <t>오공</t>
  </si>
  <si>
    <t>티모</t>
  </si>
  <si>
    <t>누누와윌럼프</t>
  </si>
  <si>
    <t>징크스</t>
  </si>
  <si>
    <t>노틸러스</t>
  </si>
  <si>
    <t>트위스티드페이트</t>
  </si>
  <si>
    <t>바이</t>
  </si>
  <si>
    <t>이즈리얼</t>
  </si>
  <si>
    <t>세주아니</t>
  </si>
  <si>
    <t>룰루</t>
  </si>
  <si>
    <t>초가스</t>
  </si>
  <si>
    <t>레오나</t>
  </si>
  <si>
    <t>케일</t>
  </si>
  <si>
    <t>트위치</t>
  </si>
  <si>
    <t>그웬</t>
  </si>
  <si>
    <t>케이틀린</t>
  </si>
  <si>
    <t>그레이브즈</t>
  </si>
  <si>
    <t>헤카림</t>
  </si>
  <si>
    <t>트리스타나</t>
  </si>
  <si>
    <t>질리언</t>
  </si>
  <si>
    <t>볼리베어</t>
  </si>
  <si>
    <t>뽀삐</t>
  </si>
  <si>
    <t>판테온</t>
  </si>
  <si>
    <t>애니비아</t>
  </si>
  <si>
    <t>오른</t>
  </si>
  <si>
    <t>멜</t>
  </si>
  <si>
    <t>베인</t>
  </si>
  <si>
    <t>럭스</t>
  </si>
  <si>
    <t>잭스</t>
  </si>
  <si>
    <t>비에고</t>
  </si>
  <si>
    <t>코그모</t>
  </si>
  <si>
    <t>빅토르</t>
  </si>
  <si>
    <t>가렌</t>
  </si>
  <si>
    <t>갱플랭크</t>
  </si>
  <si>
    <t>라이즈</t>
  </si>
  <si>
    <t>아펠리오스</t>
  </si>
  <si>
    <t>릴리아</t>
  </si>
  <si>
    <t>녹턴</t>
  </si>
  <si>
    <t>제라스</t>
  </si>
  <si>
    <t>샤코</t>
  </si>
  <si>
    <t>나서스</t>
  </si>
  <si>
    <t>블리츠클랭크</t>
  </si>
  <si>
    <t>카사딘</t>
  </si>
  <si>
    <t>킨드레드</t>
  </si>
  <si>
    <t>칼리스타</t>
  </si>
  <si>
    <t>레나타글라스크</t>
  </si>
  <si>
    <t>자르반</t>
  </si>
  <si>
    <t>그라가스</t>
  </si>
  <si>
    <t>에코</t>
  </si>
  <si>
    <t>케넨</t>
  </si>
  <si>
    <t>람머스</t>
  </si>
  <si>
    <t>리산드라</t>
  </si>
  <si>
    <t>제리</t>
  </si>
  <si>
    <t>매치결과</t>
    <phoneticPr fontId="3" type="noConversion"/>
  </si>
  <si>
    <t>세트결과</t>
    <phoneticPr fontId="3" type="noConversion"/>
  </si>
  <si>
    <t>ㅇ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</si>
</sst>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\-dd"/>
    <numFmt numFmtId="177" formatCode="m\-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8"/>
      <name val="Arial"/>
      <family val="3"/>
      <charset val="129"/>
      <scheme val="minor"/>
    </font>
    <font>
      <sz val="10"/>
      <color theme="1"/>
      <name val="맑은 고딕"/>
      <family val="2"/>
      <charset val="129"/>
    </font>
    <font>
      <sz val="10"/>
      <color theme="1"/>
      <name val="맑은 고딕"/>
      <family val="3"/>
      <charset val="129"/>
    </font>
    <font>
      <sz val="10"/>
      <color rgb="FF000000"/>
      <name val="굴림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 applyFont="1" applyAlignment="1"/>
    <xf numFmtId="0" fontId="1" fillId="0" borderId="0" xfId="0" applyFont="1" applyAlignment="1"/>
    <xf numFmtId="3" fontId="1" fillId="0" borderId="0" xfId="0" applyNumberFormat="1" applyFont="1" applyAlignment="1"/>
    <xf numFmtId="176" fontId="1" fillId="0" borderId="0" xfId="0" applyNumberFormat="1" applyFont="1" applyAlignment="1"/>
    <xf numFmtId="0" fontId="1" fillId="0" borderId="0" xfId="0" applyFont="1"/>
    <xf numFmtId="0" fontId="1" fillId="2" borderId="1" xfId="0" applyFont="1" applyFill="1" applyBorder="1"/>
    <xf numFmtId="3" fontId="1" fillId="0" borderId="0" xfId="0" applyNumberFormat="1" applyFont="1"/>
    <xf numFmtId="177" fontId="1" fillId="0" borderId="0" xfId="0" applyNumberFormat="1" applyFont="1" applyAlignment="1"/>
    <xf numFmtId="0" fontId="4" fillId="0" borderId="0" xfId="0" applyFont="1" applyAlignment="1"/>
    <xf numFmtId="0" fontId="5" fillId="0" borderId="0" xfId="0" applyFont="1" applyAlignment="1"/>
    <xf numFmtId="0" fontId="2" fillId="0" borderId="0" xfId="0" applyFont="1" applyAlignment="1"/>
    <xf numFmtId="0" fontId="6" fillId="0" borderId="0" xfId="0" applyFont="1" applyAlignme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F1000"/>
  <sheetViews>
    <sheetView tabSelected="1" workbookViewId="0">
      <selection activeCell="D2" sqref="D2"/>
    </sheetView>
  </sheetViews>
  <sheetFormatPr defaultColWidth="12.5703125" defaultRowHeight="15.75" customHeight="1" x14ac:dyDescent="0.2"/>
  <cols>
    <col min="2" max="2" width="8.5703125" customWidth="1"/>
    <col min="13" max="13" width="6.28515625" customWidth="1"/>
    <col min="14" max="14" width="11.42578125" customWidth="1"/>
    <col min="15" max="15" width="25.85546875" hidden="1" customWidth="1"/>
    <col min="16" max="16" width="11.42578125" customWidth="1"/>
    <col min="17" max="17" width="12.5703125" hidden="1"/>
    <col min="18" max="18" width="13.28515625" hidden="1" customWidth="1"/>
  </cols>
  <sheetData>
    <row r="1" spans="1:32" ht="15.75" customHeight="1" x14ac:dyDescent="0.25">
      <c r="A1" s="1" t="s">
        <v>0</v>
      </c>
      <c r="B1" s="1" t="s">
        <v>1</v>
      </c>
      <c r="C1" s="1" t="s">
        <v>2</v>
      </c>
      <c r="D1" s="8" t="s">
        <v>130</v>
      </c>
      <c r="E1" s="9" t="s">
        <v>131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2" t="s">
        <v>8</v>
      </c>
      <c r="L1" s="2" t="s">
        <v>9</v>
      </c>
      <c r="M1" s="1"/>
      <c r="N1" s="1"/>
      <c r="O1" s="1"/>
      <c r="P1" s="1" t="s">
        <v>10</v>
      </c>
      <c r="Q1" s="1" t="s">
        <v>11</v>
      </c>
      <c r="R1" s="1" t="s">
        <v>12</v>
      </c>
      <c r="S1" s="1" t="s">
        <v>2</v>
      </c>
      <c r="T1" s="1" t="s">
        <v>3</v>
      </c>
      <c r="U1" s="1" t="s">
        <v>13</v>
      </c>
      <c r="AA1" s="1" t="s">
        <v>2</v>
      </c>
      <c r="AB1" s="1" t="s">
        <v>3</v>
      </c>
      <c r="AC1" s="1" t="s">
        <v>13</v>
      </c>
      <c r="AF1" s="1" t="s">
        <v>4</v>
      </c>
    </row>
    <row r="2" spans="1:32" ht="12.75" x14ac:dyDescent="0.2">
      <c r="A2" s="7">
        <v>46012</v>
      </c>
      <c r="B2" s="1">
        <v>1</v>
      </c>
      <c r="C2" s="1" t="s">
        <v>32</v>
      </c>
      <c r="D2" s="1" t="str">
        <f>IF(B2=1,IF(COUNTIFS(A:A,A2,C:C,C2,E:E,"승")&gt;COUNTIFS(A:A,A2,C:C,C2,E:E,"패"),"승",IF(COUNTIFS(A:A,A2,C:C,C2,E:E,"승")&lt;COUNTIFS(A:A,A2,C:C,C2,E:E,"패"),"패","무승부")),"")</f>
        <v>패</v>
      </c>
      <c r="E2" s="1" t="s">
        <v>15</v>
      </c>
      <c r="F2" s="1" t="s">
        <v>16</v>
      </c>
      <c r="G2" s="1" t="s">
        <v>23</v>
      </c>
      <c r="H2" s="1">
        <v>5</v>
      </c>
      <c r="I2" s="1">
        <v>3</v>
      </c>
      <c r="J2" s="1">
        <v>14</v>
      </c>
      <c r="K2" s="2">
        <v>31501</v>
      </c>
      <c r="L2" s="2">
        <v>14346</v>
      </c>
      <c r="M2" s="1" t="s">
        <v>18</v>
      </c>
      <c r="N2" s="4" t="str">
        <f ca="1">COUNTIFS($C$2:$C1000, M3, $F$2:$F1000, M2, $E$2:$E1000, "승", $O$2:$O1000, "*"&amp;M2&amp;M4&amp;"*") &amp; "승 / " &amp; COUNTIFS($C$2:$C1000, M3, $F$2:$F1000, M2, $E$2:$E1000, "패", $O$2:$O1000, "*"&amp;M2&amp;M4&amp;"*") &amp; "패"</f>
        <v>10승 / 3패</v>
      </c>
      <c r="O2" s="4" t="str">
        <f ca="1">IFERROR(__xludf.DUMMYFUNCTION("TEXTJOIN("","", TRUE, FILTER($E$2:$E1000 &amp; $C$2:$C1000, $A$2:$A1000=A2, $B$2:$B1000=B2, $D$2:$D1000&lt;&gt;D2))"),"탑임성빈,정글심재현,미드김응민,원딜이창호,서폿김현수")</f>
        <v>탑임성빈,정글심재현,미드김응민,원딜이창호,서폿김현수</v>
      </c>
      <c r="P2" s="4" t="e">
        <f ca="1">_xludf.LET(
  w,COUNTIFS($C:$C,$S2,$E:$E,"승"),
  l,COUNTIFS($C:$C,$S2,$E:$E,"패"),
  IF(w+l=0,"","승 "&amp;w&amp;" / 패 "&amp;l)
)</f>
        <v>#NAME?</v>
      </c>
      <c r="Q2" s="5" t="e">
        <f ca="1">_xludf.LET(
  w,COUNTIFS($C:$C,$S2,$F:$F,$T2,$E:$E,"승"),
  l,COUNTIFS($C:$C,$S2,$F:$F,$T2,$E:$E,"패"),
  IF(w+l=0,"","승 "&amp;w&amp;" / 패 "&amp;l))</f>
        <v>#NAME?</v>
      </c>
      <c r="R2" s="4" t="e">
        <f ca="1">_xludf.LET(
  w,COUNTIFS($C:$C,$S2,$F:$F,$T2,$G:$G,$U2,$E:$E,"승"),
  l,COUNTIFS($C:$C,$S2,$F:$F,$T2,$G:$G,$U2,$E:$E,"패"),
  IF(w+l=0,"","승 "&amp;w&amp;" / 패 "&amp;l)
)</f>
        <v>#NAME?</v>
      </c>
      <c r="S2" s="1" t="s">
        <v>14</v>
      </c>
      <c r="T2" s="1" t="s">
        <v>18</v>
      </c>
      <c r="U2" s="1" t="s">
        <v>19</v>
      </c>
      <c r="V2" s="1" t="str">
        <f>"승 " &amp; COUNTIFS($C:$C, S2, $F:$F, T2, $G:$G, U2, $E:$E, "승") &amp; " / 패 " &amp; COUNTIFS($C:$C, S2, $F:$F, T2, $G:$G, U2, $E:$E, "패")</f>
        <v>승 4 / 패 0</v>
      </c>
      <c r="AA2" s="1" t="s">
        <v>20</v>
      </c>
      <c r="AB2" s="1" t="s">
        <v>18</v>
      </c>
      <c r="AC2" s="1" t="s">
        <v>19</v>
      </c>
      <c r="AD2" s="4" t="e">
        <f t="array" aca="1" ref="AD2:AD22" ca="1">_xludf.UNIQUE(C2:C1000)</f>
        <v>#NAME?</v>
      </c>
      <c r="AE2" s="4" t="str">
        <f ca="1">IFERROR(__xludf.DUMMYFUNCTION("UNIQUE(FILTER(E2:E1000, C2:C1000=R2))"),"탑")</f>
        <v>탑</v>
      </c>
      <c r="AF2" s="4" t="str">
        <f ca="1">IFERROR(__xludf.DUMMYFUNCTION("UNIQUE(
  FILTER(
    F2:F1000,
    C2:C1000 = $R$2,
    E2:E1000 = $S$2
  )
)"),"요네")</f>
        <v>요네</v>
      </c>
    </row>
    <row r="3" spans="1:32" ht="12.75" x14ac:dyDescent="0.2">
      <c r="A3" s="7">
        <v>46012</v>
      </c>
      <c r="B3" s="1">
        <v>1</v>
      </c>
      <c r="C3" s="1" t="s">
        <v>21</v>
      </c>
      <c r="D3" s="1" t="str">
        <f t="shared" ref="D3:D66" si="0">IF(B3=1,IF(COUNTIFS(A:A,A3,C:C,C3,E:E,"승")&gt;COUNTIFS(A:A,A3,C:C,C3,E:E,"패"),"승",IF(COUNTIFS(A:A,A3,C:C,C3,E:E,"승")&lt;COUNTIFS(A:A,A3,C:C,C3,E:E,"패"),"패","무승부")),"")</f>
        <v>패</v>
      </c>
      <c r="E3" s="1" t="s">
        <v>15</v>
      </c>
      <c r="F3" s="1" t="s">
        <v>22</v>
      </c>
      <c r="G3" s="1" t="s">
        <v>67</v>
      </c>
      <c r="H3" s="1">
        <v>5</v>
      </c>
      <c r="I3" s="1">
        <v>5</v>
      </c>
      <c r="J3" s="1">
        <v>18</v>
      </c>
      <c r="K3" s="2">
        <v>21663</v>
      </c>
      <c r="L3" s="2">
        <v>14134</v>
      </c>
      <c r="M3" s="1" t="s">
        <v>14</v>
      </c>
      <c r="O3" s="4" t="str">
        <f ca="1">IFERROR(__xludf.DUMMYFUNCTION("TEXTJOIN("","", TRUE, FILTER($E$2:$E1000 &amp; $C$2:$C1000, $A$2:$A1000=A3, $B$2:$B1000=B3, $D$2:$D1000&lt;&gt;D3))"),"탑임성빈,정글심재현,미드김응민,원딜이창호,서폿김현수")</f>
        <v>탑임성빈,정글심재현,미드김응민,원딜이창호,서폿김현수</v>
      </c>
      <c r="P3" s="4" t="e">
        <f ca="1">_xludf.LET(
  w,COUNTIFS($C:$C,$S3,$E:$E,"승"),
  l,COUNTIFS($C:$C,$S3,$E:$E,"패"),
  IF(w+l=0,"","승 "&amp;w&amp;" / 패 "&amp;l)
)</f>
        <v>#NAME?</v>
      </c>
      <c r="Q3" s="5" t="e">
        <f ca="1">_xludf.LET(
  w,COUNTIFS($C:$C,$S3,$F:$F,$T3,$E:$E,"승"),
  l,COUNTIFS($C:$C,$S3,$F:$F,$T3,$E:$E,"패"),
  IF(w+l=0,"","승 "&amp;w&amp;" / 패 "&amp;l))</f>
        <v>#NAME?</v>
      </c>
      <c r="R3" s="4" t="e">
        <f ca="1">_xludf.LET(
  w,COUNTIFS($C:$C,$S3,$F:$F,$T3,$G:$G,$U3,$E:$E,"승"),
  l,COUNTIFS($C:$C,$S3,$F:$F,$T3,$G:$G,$U3,$E:$E,"패"),
  IF(w+l=0,"","승 "&amp;w&amp;" / 패 "&amp;l)
)</f>
        <v>#NAME?</v>
      </c>
      <c r="S3" s="1" t="s">
        <v>21</v>
      </c>
      <c r="T3" s="4"/>
      <c r="U3" s="4"/>
      <c r="AA3" s="1" t="s">
        <v>21</v>
      </c>
      <c r="AB3" s="1" t="s">
        <v>18</v>
      </c>
      <c r="AC3" s="1" t="s">
        <v>24</v>
      </c>
      <c r="AD3" s="4" t="e">
        <f ca="1"/>
        <v>#NAME?</v>
      </c>
      <c r="AE3" s="4" t="str">
        <f ca="1">IFERROR(__xludf.DUMMYFUNCTION("""COMPUTED_VALUE"""),"미드")</f>
        <v>미드</v>
      </c>
      <c r="AF3" s="4" t="str">
        <f ca="1">IFERROR(__xludf.DUMMYFUNCTION("""COMPUTED_VALUE"""),"신드라")</f>
        <v>신드라</v>
      </c>
    </row>
    <row r="4" spans="1:32" ht="12.75" x14ac:dyDescent="0.2">
      <c r="A4" s="7">
        <v>46012</v>
      </c>
      <c r="B4" s="1">
        <v>1</v>
      </c>
      <c r="C4" s="1" t="s">
        <v>14</v>
      </c>
      <c r="D4" s="1" t="str">
        <f t="shared" si="0"/>
        <v>승</v>
      </c>
      <c r="E4" s="1" t="s">
        <v>15</v>
      </c>
      <c r="F4" s="1" t="s">
        <v>18</v>
      </c>
      <c r="G4" s="1" t="s">
        <v>82</v>
      </c>
      <c r="H4" s="1">
        <v>8</v>
      </c>
      <c r="I4" s="1">
        <v>4</v>
      </c>
      <c r="J4" s="1">
        <v>17</v>
      </c>
      <c r="K4" s="2">
        <v>31946</v>
      </c>
      <c r="L4" s="2">
        <v>17276</v>
      </c>
      <c r="M4" s="1" t="s">
        <v>27</v>
      </c>
      <c r="O4" s="4" t="str">
        <f ca="1">IFERROR(__xludf.DUMMYFUNCTION("TEXTJOIN("","", TRUE, FILTER($E$2:$E1000 &amp; $C$2:$C1000, $A$2:$A1000=A4, $B$2:$B1000=B4, $D$2:$D1000&lt;&gt;D4))"),"탑임성빈,정글심재현,미드김응민,원딜이창호,서폿김현수")</f>
        <v>탑임성빈,정글심재현,미드김응민,원딜이창호,서폿김현수</v>
      </c>
      <c r="P4" s="4" t="e">
        <f ca="1">_xludf.LET(
  w,COUNTIFS($C:$C,$S4,$E:$E,"승"),
  l,COUNTIFS($C:$C,$S4,$E:$E,"패"),
  IF(w+l=0,"","승 "&amp;w&amp;" / 패 "&amp;l)
)</f>
        <v>#NAME?</v>
      </c>
      <c r="Q4" s="5" t="e">
        <f ca="1">_xludf.LET(
  w,COUNTIFS($C:$C,$S4,$F:$F,$T4,$E:$E,"승"),
  l,COUNTIFS($C:$C,$S4,$F:$F,$T4,$E:$E,"패"),
  IF(w+l=0,"","승 "&amp;w&amp;" / 패 "&amp;l))</f>
        <v>#NAME?</v>
      </c>
      <c r="R4" s="4" t="e">
        <f ca="1">_xludf.LET(
  w,COUNTIFS($C:$C,$S4,$F:$F,$T4,$G:$G,$U4,$E:$E,"승"),
  l,COUNTIFS($C:$C,$S4,$F:$F,$T4,$G:$G,$U4,$E:$E,"패"),
  IF(w+l=0,"","승 "&amp;w&amp;" / 패 "&amp;l)
)</f>
        <v>#NAME?</v>
      </c>
      <c r="S4" s="1" t="s">
        <v>25</v>
      </c>
      <c r="T4" s="4"/>
      <c r="U4" s="4"/>
      <c r="AA4" s="1" t="s">
        <v>14</v>
      </c>
      <c r="AB4" s="1" t="s">
        <v>16</v>
      </c>
      <c r="AC4" s="1" t="s">
        <v>19</v>
      </c>
      <c r="AD4" s="4" t="e">
        <f ca="1"/>
        <v>#NAME?</v>
      </c>
      <c r="AF4" s="4" t="str">
        <f ca="1">IFERROR(__xludf.DUMMYFUNCTION("""COMPUTED_VALUE"""),"트위스티드페이트")</f>
        <v>트위스티드페이트</v>
      </c>
    </row>
    <row r="5" spans="1:32" ht="12.75" x14ac:dyDescent="0.2">
      <c r="A5" s="7">
        <v>46012</v>
      </c>
      <c r="B5" s="1">
        <v>1</v>
      </c>
      <c r="C5" s="1" t="s">
        <v>27</v>
      </c>
      <c r="D5" s="1" t="str">
        <f t="shared" si="0"/>
        <v>패</v>
      </c>
      <c r="E5" s="1" t="s">
        <v>15</v>
      </c>
      <c r="F5" s="1" t="s">
        <v>28</v>
      </c>
      <c r="G5" s="1" t="s">
        <v>59</v>
      </c>
      <c r="H5" s="1">
        <v>15</v>
      </c>
      <c r="I5" s="1">
        <v>6</v>
      </c>
      <c r="J5" s="1">
        <v>8</v>
      </c>
      <c r="K5" s="2">
        <v>50964</v>
      </c>
      <c r="L5" s="2">
        <v>18228</v>
      </c>
      <c r="M5" s="1"/>
      <c r="O5" s="4" t="str">
        <f ca="1">IFERROR(__xludf.DUMMYFUNCTION("TEXTJOIN("","", TRUE, FILTER($E$2:$E1000 &amp; $C$2:$C1000, $A$2:$A1000=A5, $B$2:$B1000=B5, $D$2:$D1000&lt;&gt;D5))"),"탑임성빈,정글심재현,미드김응민,원딜이창호,서폿김현수")</f>
        <v>탑임성빈,정글심재현,미드김응민,원딜이창호,서폿김현수</v>
      </c>
      <c r="P5" s="4" t="e">
        <f ca="1">_xludf.LET(
  w,COUNTIFS($C:$C,$S5,$E:$E,"승"),
  l,COUNTIFS($C:$C,$S5,$E:$E,"패"),
  IF(w+l=0,"","승 "&amp;w&amp;" / 패 "&amp;l)
)</f>
        <v>#NAME?</v>
      </c>
      <c r="Q5" s="5" t="e">
        <f ca="1">_xludf.LET(
  w,COUNTIFS($C:$C,$S5,$F:$F,$T5,$E:$E,"승"),
  l,COUNTIFS($C:$C,$S5,$F:$F,$T5,$E:$E,"패"),
  IF(w+l=0,"","승 "&amp;w&amp;" / 패 "&amp;l))</f>
        <v>#NAME?</v>
      </c>
      <c r="R5" s="4" t="e">
        <f ca="1">_xludf.LET(
  w,COUNTIFS($C:$C,$S5,$F:$F,$T5,$G:$G,$U5,$E:$E,"승"),
  l,COUNTIFS($C:$C,$S5,$F:$F,$T5,$G:$G,$U5,$E:$E,"패"),
  IF(w+l=0,"","승 "&amp;w&amp;" / 패 "&amp;l)
)</f>
        <v>#NAME?</v>
      </c>
      <c r="S5" s="1" t="s">
        <v>27</v>
      </c>
      <c r="T5" s="1" t="s">
        <v>30</v>
      </c>
      <c r="U5" s="1" t="s">
        <v>17</v>
      </c>
      <c r="AA5" s="1" t="s">
        <v>14</v>
      </c>
      <c r="AB5" s="1" t="s">
        <v>16</v>
      </c>
      <c r="AC5" s="1" t="s">
        <v>19</v>
      </c>
      <c r="AD5" s="4" t="e">
        <f ca="1"/>
        <v>#NAME?</v>
      </c>
      <c r="AF5" s="4" t="str">
        <f ca="1">IFERROR(__xludf.DUMMYFUNCTION("""COMPUTED_VALUE"""),"야스오")</f>
        <v>야스오</v>
      </c>
    </row>
    <row r="6" spans="1:32" ht="12.75" x14ac:dyDescent="0.2">
      <c r="A6" s="7">
        <v>46012</v>
      </c>
      <c r="B6" s="1">
        <v>1</v>
      </c>
      <c r="C6" s="1" t="s">
        <v>20</v>
      </c>
      <c r="D6" s="1" t="str">
        <f t="shared" si="0"/>
        <v>패</v>
      </c>
      <c r="E6" s="1" t="s">
        <v>15</v>
      </c>
      <c r="F6" s="1" t="s">
        <v>30</v>
      </c>
      <c r="G6" s="1" t="s">
        <v>41</v>
      </c>
      <c r="H6" s="1">
        <v>1</v>
      </c>
      <c r="I6" s="1">
        <v>6</v>
      </c>
      <c r="J6" s="1">
        <v>11</v>
      </c>
      <c r="K6" s="2">
        <v>31501</v>
      </c>
      <c r="L6" s="2">
        <v>14346</v>
      </c>
      <c r="M6" s="1"/>
      <c r="O6" s="4" t="str">
        <f ca="1">IFERROR(__xludf.DUMMYFUNCTION("TEXTJOIN("","", TRUE, FILTER($E$2:$E1000 &amp; $C$2:$C1000, $A$2:$A1000=A6, $B$2:$B1000=B6, $D$2:$D1000&lt;&gt;D6))"),"탑임성빈,정글심재현,미드김응민,원딜이창호,서폿김현수")</f>
        <v>탑임성빈,정글심재현,미드김응민,원딜이창호,서폿김현수</v>
      </c>
      <c r="P6" s="4" t="e">
        <f ca="1">_xludf.LET(
  w,COUNTIFS($C:$C,$S6,$E:$E,"승"),
  l,COUNTIFS($C:$C,$S6,$E:$E,"패"),
  IF(w+l=0,"","승 "&amp;w&amp;" / 패 "&amp;l)
)</f>
        <v>#NAME?</v>
      </c>
      <c r="Q6" s="5" t="e">
        <f ca="1">_xludf.LET(
  w,COUNTIFS($C:$C,$S6,$F:$F,$T6,$E:$E,"승"),
  l,COUNTIFS($C:$C,$S6,$F:$F,$T6,$E:$E,"패"),
  IF(w+l=0,"","승 "&amp;w&amp;" / 패 "&amp;l))</f>
        <v>#NAME?</v>
      </c>
      <c r="R6" s="4" t="e">
        <f ca="1">_xludf.LET(
  w,COUNTIFS($C:$C,$S6,$F:$F,$T6,$G:$G,$U6,$E:$E,"승"),
  l,COUNTIFS($C:$C,$S6,$F:$F,$T6,$G:$G,$U6,$E:$E,"패"),
  IF(w+l=0,"","승 "&amp;w&amp;" / 패 "&amp;l)
)</f>
        <v>#NAME?</v>
      </c>
      <c r="S6" s="1" t="s">
        <v>20</v>
      </c>
      <c r="T6" s="4"/>
      <c r="U6" s="4"/>
      <c r="AA6" s="1" t="s">
        <v>14</v>
      </c>
      <c r="AB6" s="1" t="s">
        <v>16</v>
      </c>
      <c r="AC6" s="1" t="s">
        <v>19</v>
      </c>
      <c r="AD6" s="4" t="e">
        <f ca="1"/>
        <v>#NAME?</v>
      </c>
      <c r="AF6" s="4" t="str">
        <f ca="1">IFERROR(__xludf.DUMMYFUNCTION("""COMPUTED_VALUE"""),"자르반4세")</f>
        <v>자르반4세</v>
      </c>
    </row>
    <row r="7" spans="1:32" ht="12.75" x14ac:dyDescent="0.2">
      <c r="A7" s="7">
        <v>46012</v>
      </c>
      <c r="B7" s="1">
        <v>1</v>
      </c>
      <c r="C7" s="1" t="s">
        <v>45</v>
      </c>
      <c r="D7" s="1" t="str">
        <f t="shared" si="0"/>
        <v>승</v>
      </c>
      <c r="E7" s="1" t="s">
        <v>33</v>
      </c>
      <c r="F7" s="1" t="s">
        <v>16</v>
      </c>
      <c r="G7" s="1" t="s">
        <v>34</v>
      </c>
      <c r="H7" s="1">
        <v>3</v>
      </c>
      <c r="I7" s="1">
        <v>5</v>
      </c>
      <c r="J7" s="1">
        <v>6</v>
      </c>
      <c r="K7" s="2">
        <v>22650</v>
      </c>
      <c r="L7" s="2">
        <v>12763</v>
      </c>
      <c r="M7" s="1"/>
      <c r="O7" s="4" t="str">
        <f ca="1">IFERROR(__xludf.DUMMYFUNCTION("TEXTJOIN("","", TRUE, FILTER($E$2:$E1000 &amp; $C$2:$C1000, $A$2:$A1000=A7, $B$2:$B1000=B7, $D$2:$D1000&lt;&gt;D7))"),"탑박상호,정글지범진,미드신동혁,원딜정용운,서폿이세환")</f>
        <v>탑박상호,정글지범진,미드신동혁,원딜정용운,서폿이세환</v>
      </c>
      <c r="P7" s="4" t="e">
        <f ca="1">_xludf.LET(
  w,COUNTIFS($C:$C,$S7,$E:$E,"승"),
  l,COUNTIFS($C:$C,$S7,$E:$E,"패"),
  IF(w+l=0,"","승 "&amp;w&amp;" / 패 "&amp;l)
)</f>
        <v>#NAME?</v>
      </c>
      <c r="Q7" s="5" t="e">
        <f ca="1">_xludf.LET(
  w,COUNTIFS($C:$C,$S7,$F:$F,$T7,$E:$E,"승"),
  l,COUNTIFS($C:$C,$S7,$F:$F,$T7,$E:$E,"패"),
  IF(w+l=0,"","승 "&amp;w&amp;" / 패 "&amp;l))</f>
        <v>#NAME?</v>
      </c>
      <c r="R7" s="4" t="e">
        <f ca="1">_xludf.LET(
  w,COUNTIFS($C:$C,$S7,$F:$F,$T7,$G:$G,$U7,$E:$E,"승"),
  l,COUNTIFS($C:$C,$S7,$F:$F,$T7,$G:$G,$U7,$E:$E,"패"),
  IF(w+l=0,"","승 "&amp;w&amp;" / 패 "&amp;l)
)</f>
        <v>#NAME?</v>
      </c>
      <c r="S7" s="1" t="s">
        <v>32</v>
      </c>
      <c r="T7" s="4"/>
      <c r="U7" s="4"/>
      <c r="AA7" s="1" t="s">
        <v>14</v>
      </c>
      <c r="AB7" s="1" t="s">
        <v>16</v>
      </c>
      <c r="AC7" s="1" t="s">
        <v>19</v>
      </c>
      <c r="AD7" s="4" t="e">
        <f ca="1"/>
        <v>#NAME?</v>
      </c>
      <c r="AF7" s="4" t="str">
        <f ca="1">IFERROR(__xludf.DUMMYFUNCTION("""COMPUTED_VALUE"""),"사일러스")</f>
        <v>사일러스</v>
      </c>
    </row>
    <row r="8" spans="1:32" ht="12.75" x14ac:dyDescent="0.2">
      <c r="A8" s="7">
        <v>46012</v>
      </c>
      <c r="B8" s="1">
        <v>1</v>
      </c>
      <c r="C8" s="1" t="s">
        <v>44</v>
      </c>
      <c r="D8" s="1" t="str">
        <f t="shared" si="0"/>
        <v>승</v>
      </c>
      <c r="E8" s="1" t="s">
        <v>33</v>
      </c>
      <c r="F8" s="1" t="s">
        <v>22</v>
      </c>
      <c r="G8" s="1" t="s">
        <v>83</v>
      </c>
      <c r="H8" s="1">
        <v>3</v>
      </c>
      <c r="I8" s="1">
        <v>7</v>
      </c>
      <c r="J8" s="1">
        <v>10</v>
      </c>
      <c r="K8" s="2">
        <v>14727</v>
      </c>
      <c r="L8" s="2">
        <v>12633</v>
      </c>
      <c r="M8" s="1"/>
      <c r="O8" s="4" t="str">
        <f ca="1">IFERROR(__xludf.DUMMYFUNCTION("TEXTJOIN("","", TRUE, FILTER($E$2:$E1000 &amp; $C$2:$C1000, $A$2:$A1000=A8, $B$2:$B1000=B8, $D$2:$D1000&lt;&gt;D8))"),"탑박상호,정글지범진,미드신동혁,원딜정용운,서폿이세환")</f>
        <v>탑박상호,정글지범진,미드신동혁,원딜정용운,서폿이세환</v>
      </c>
      <c r="P8" s="4" t="e">
        <f ca="1">_xludf.LET(
  w,COUNTIFS($C:$C,$S8,$E:$E,"승"),
  l,COUNTIFS($C:$C,$S8,$E:$E,"패"),
  IF(w+l=0,"","승 "&amp;w&amp;" / 패 "&amp;l)
)</f>
        <v>#NAME?</v>
      </c>
      <c r="Q8" s="5" t="e">
        <f ca="1">_xludf.LET(
  w,COUNTIFS($C:$C,$S8,$F:$F,$T8,$E:$E,"승"),
  l,COUNTIFS($C:$C,$S8,$F:$F,$T8,$E:$E,"패"),
  IF(w+l=0,"","승 "&amp;w&amp;" / 패 "&amp;l))</f>
        <v>#NAME?</v>
      </c>
      <c r="R8" s="4" t="e">
        <f ca="1">_xludf.LET(
  w,COUNTIFS($C:$C,$S8,$F:$F,$T8,$G:$G,$U8,$E:$E,"승"),
  l,COUNTIFS($C:$C,$S8,$F:$F,$T8,$G:$G,$U8,$E:$E,"패"),
  IF(w+l=0,"","승 "&amp;w&amp;" / 패 "&amp;l)
)</f>
        <v>#NAME?</v>
      </c>
      <c r="S8" s="1" t="s">
        <v>35</v>
      </c>
      <c r="T8" s="4"/>
      <c r="U8" s="4"/>
      <c r="AA8" s="1" t="s">
        <v>14</v>
      </c>
      <c r="AB8" s="1" t="s">
        <v>16</v>
      </c>
      <c r="AC8" s="1" t="s">
        <v>19</v>
      </c>
      <c r="AD8" s="4" t="e">
        <f ca="1"/>
        <v>#NAME?</v>
      </c>
    </row>
    <row r="9" spans="1:32" ht="12.75" x14ac:dyDescent="0.2">
      <c r="A9" s="7">
        <v>46012</v>
      </c>
      <c r="B9" s="1">
        <v>1</v>
      </c>
      <c r="C9" s="1" t="s">
        <v>37</v>
      </c>
      <c r="D9" s="1" t="str">
        <f t="shared" si="0"/>
        <v>패</v>
      </c>
      <c r="E9" s="1" t="s">
        <v>33</v>
      </c>
      <c r="F9" s="1" t="s">
        <v>18</v>
      </c>
      <c r="G9" s="1" t="s">
        <v>24</v>
      </c>
      <c r="H9" s="1">
        <v>12</v>
      </c>
      <c r="I9" s="1">
        <v>9</v>
      </c>
      <c r="J9" s="1">
        <v>6</v>
      </c>
      <c r="K9" s="2">
        <v>36268</v>
      </c>
      <c r="L9" s="2">
        <v>20365</v>
      </c>
      <c r="M9" s="1"/>
      <c r="O9" s="4" t="str">
        <f ca="1">IFERROR(__xludf.DUMMYFUNCTION("TEXTJOIN("","", TRUE, FILTER($E$2:$E1000 &amp; $C$2:$C1000, $A$2:$A1000=A9, $B$2:$B1000=B9, $D$2:$D1000&lt;&gt;D9))"),"탑박상호,정글지범진,미드신동혁,원딜정용운,서폿이세환")</f>
        <v>탑박상호,정글지범진,미드신동혁,원딜정용운,서폿이세환</v>
      </c>
      <c r="P9" s="4" t="e">
        <f ca="1">_xludf.LET(
  w,COUNTIFS($C:$C,$S9,$E:$E,"승"),
  l,COUNTIFS($C:$C,$S9,$E:$E,"패"),
  IF(w+l=0,"","승 "&amp;w&amp;" / 패 "&amp;l)
)</f>
        <v>#NAME?</v>
      </c>
      <c r="Q9" s="5" t="e">
        <f ca="1">_xludf.LET(
  w,COUNTIFS($C:$C,$S9,$F:$F,$T9,$E:$E,"승"),
  l,COUNTIFS($C:$C,$S9,$F:$F,$T9,$E:$E,"패"),
  IF(w+l=0,"","승 "&amp;w&amp;" / 패 "&amp;l))</f>
        <v>#NAME?</v>
      </c>
      <c r="R9" s="4" t="e">
        <f ca="1">_xludf.LET(
  w,COUNTIFS($C:$C,$S9,$F:$F,$T9,$G:$G,$U9,$E:$E,"승"),
  l,COUNTIFS($C:$C,$S9,$F:$F,$T9,$G:$G,$U9,$E:$E,"패"),
  IF(w+l=0,"","승 "&amp;w&amp;" / 패 "&amp;l)
)</f>
        <v>#NAME?</v>
      </c>
      <c r="S9" s="1" t="s">
        <v>37</v>
      </c>
      <c r="T9" s="4"/>
      <c r="U9" s="4"/>
      <c r="AA9" s="1" t="s">
        <v>14</v>
      </c>
      <c r="AB9" s="1" t="s">
        <v>16</v>
      </c>
      <c r="AC9" s="1" t="s">
        <v>19</v>
      </c>
      <c r="AD9" s="4" t="e">
        <f ca="1"/>
        <v>#NAME?</v>
      </c>
    </row>
    <row r="10" spans="1:32" ht="12.75" x14ac:dyDescent="0.2">
      <c r="A10" s="7">
        <v>46012</v>
      </c>
      <c r="B10" s="1">
        <v>1</v>
      </c>
      <c r="C10" s="1" t="s">
        <v>42</v>
      </c>
      <c r="D10" s="1" t="str">
        <f t="shared" si="0"/>
        <v>승</v>
      </c>
      <c r="E10" s="1" t="s">
        <v>33</v>
      </c>
      <c r="F10" s="1" t="s">
        <v>28</v>
      </c>
      <c r="G10" s="1" t="s">
        <v>84</v>
      </c>
      <c r="H10" s="1">
        <v>3</v>
      </c>
      <c r="I10" s="1">
        <v>6</v>
      </c>
      <c r="J10" s="1">
        <v>7</v>
      </c>
      <c r="K10" s="2">
        <v>22640</v>
      </c>
      <c r="L10" s="2">
        <v>13396</v>
      </c>
      <c r="M10" s="1"/>
      <c r="O10" s="4" t="str">
        <f ca="1">IFERROR(__xludf.DUMMYFUNCTION("TEXTJOIN("","", TRUE, FILTER($E$2:$E1000 &amp; $C$2:$C1000, $A$2:$A1000=A10, $B$2:$B1000=B10, $D$2:$D1000&lt;&gt;D10))"),"탑박상호,정글지범진,미드신동혁,원딜정용운,서폿이세환")</f>
        <v>탑박상호,정글지범진,미드신동혁,원딜정용운,서폿이세환</v>
      </c>
      <c r="P10" s="4" t="e">
        <f ca="1">_xludf.LET(
  w,COUNTIFS($C:$C,$S10,$E:$E,"승"),
  l,COUNTIFS($C:$C,$S10,$E:$E,"패"),
  IF(w+l=0,"","승 "&amp;w&amp;" / 패 "&amp;l)
)</f>
        <v>#NAME?</v>
      </c>
      <c r="Q10" s="5" t="e">
        <f ca="1">_xludf.LET(
  w,COUNTIFS($C:$C,$S10,$F:$F,$T10,$E:$E,"승"),
  l,COUNTIFS($C:$C,$S10,$F:$F,$T10,$E:$E,"패"),
  IF(w+l=0,"","승 "&amp;w&amp;" / 패 "&amp;l))</f>
        <v>#NAME?</v>
      </c>
      <c r="R10" s="4" t="e">
        <f ca="1">_xludf.LET(
  w,COUNTIFS($C:$C,$S10,$F:$F,$T10,$G:$G,$U10,$E:$E,"승"),
  l,COUNTIFS($C:$C,$S10,$F:$F,$T10,$G:$G,$U10,$E:$E,"패"),
  IF(w+l=0,"","승 "&amp;w&amp;" / 패 "&amp;l)
)</f>
        <v>#NAME?</v>
      </c>
      <c r="S10" s="1" t="s">
        <v>38</v>
      </c>
      <c r="T10" s="4"/>
      <c r="U10" s="4"/>
      <c r="AA10" s="1" t="s">
        <v>14</v>
      </c>
      <c r="AB10" s="1" t="s">
        <v>16</v>
      </c>
      <c r="AC10" s="1" t="s">
        <v>19</v>
      </c>
      <c r="AD10" s="4" t="e">
        <f ca="1"/>
        <v>#NAME?</v>
      </c>
    </row>
    <row r="11" spans="1:32" ht="12.75" x14ac:dyDescent="0.2">
      <c r="A11" s="7">
        <v>46012</v>
      </c>
      <c r="B11" s="1">
        <v>1</v>
      </c>
      <c r="C11" s="1" t="s">
        <v>40</v>
      </c>
      <c r="D11" s="1" t="str">
        <f t="shared" si="0"/>
        <v>승</v>
      </c>
      <c r="E11" s="1" t="s">
        <v>33</v>
      </c>
      <c r="F11" s="1" t="s">
        <v>30</v>
      </c>
      <c r="G11" s="1" t="s">
        <v>60</v>
      </c>
      <c r="H11" s="1">
        <v>3</v>
      </c>
      <c r="I11" s="1">
        <v>7</v>
      </c>
      <c r="J11" s="1">
        <v>13</v>
      </c>
      <c r="K11" s="2">
        <v>22464</v>
      </c>
      <c r="L11" s="2">
        <v>10213</v>
      </c>
      <c r="M11" s="1"/>
      <c r="O11" s="4" t="str">
        <f ca="1">IFERROR(__xludf.DUMMYFUNCTION("TEXTJOIN("","", TRUE, FILTER($E$2:$E1000 &amp; $C$2:$C1000, $A$2:$A1000=A11, $B$2:$B1000=B11, $D$2:$D1000&lt;&gt;D11))"),"탑박상호,정글지범진,미드신동혁,원딜정용운,서폿이세환")</f>
        <v>탑박상호,정글지범진,미드신동혁,원딜정용운,서폿이세환</v>
      </c>
      <c r="P11" s="4" t="e">
        <f ca="1">_xludf.LET(
  w,COUNTIFS($C:$C,$S11,$E:$E,"승"),
  l,COUNTIFS($C:$C,$S11,$E:$E,"패"),
  IF(w+l=0,"","승 "&amp;w&amp;" / 패 "&amp;l)
)</f>
        <v>#NAME?</v>
      </c>
      <c r="Q11" s="5" t="e">
        <f ca="1">_xludf.LET(
  w,COUNTIFS($C:$C,$S11,$F:$F,$T11,$E:$E,"승"),
  l,COUNTIFS($C:$C,$S11,$F:$F,$T11,$E:$E,"패"),
  IF(w+l=0,"","승 "&amp;w&amp;" / 패 "&amp;l))</f>
        <v>#NAME?</v>
      </c>
      <c r="R11" s="4" t="e">
        <f ca="1">_xludf.LET(
  w,COUNTIFS($C:$C,$S11,$F:$F,$T11,$G:$G,$U11,$E:$E,"승"),
  l,COUNTIFS($C:$C,$S11,$F:$F,$T11,$G:$G,$U11,$E:$E,"패"),
  IF(w+l=0,"","승 "&amp;w&amp;" / 패 "&amp;l)
)</f>
        <v>#NAME?</v>
      </c>
      <c r="S11" s="1" t="s">
        <v>40</v>
      </c>
      <c r="T11" s="4"/>
      <c r="U11" s="4"/>
      <c r="AA11" s="1" t="s">
        <v>14</v>
      </c>
      <c r="AB11" s="1" t="s">
        <v>16</v>
      </c>
      <c r="AC11" s="1" t="s">
        <v>19</v>
      </c>
      <c r="AD11" s="4" t="e">
        <f ca="1"/>
        <v>#NAME?</v>
      </c>
    </row>
    <row r="12" spans="1:32" ht="12.75" x14ac:dyDescent="0.2">
      <c r="A12" s="7">
        <v>46012</v>
      </c>
      <c r="B12" s="1">
        <v>2</v>
      </c>
      <c r="C12" s="1" t="s">
        <v>32</v>
      </c>
      <c r="D12" s="1" t="str">
        <f t="shared" si="0"/>
        <v/>
      </c>
      <c r="E12" s="1" t="s">
        <v>33</v>
      </c>
      <c r="F12" s="1" t="s">
        <v>16</v>
      </c>
      <c r="G12" s="1" t="s">
        <v>85</v>
      </c>
      <c r="H12" s="1">
        <v>1</v>
      </c>
      <c r="I12" s="1">
        <v>4</v>
      </c>
      <c r="J12" s="1">
        <v>0</v>
      </c>
      <c r="K12" s="2">
        <v>7108</v>
      </c>
      <c r="L12" s="2">
        <v>4384</v>
      </c>
      <c r="M12" s="1"/>
      <c r="O12" s="4" t="str">
        <f ca="1">IFERROR(__xludf.DUMMYFUNCTION("TEXTJOIN("","", TRUE, FILTER($E$2:$E1000 &amp; $C$2:$C1000, $A$2:$A1000=A12, $B$2:$B1000=B12, $D$2:$D1000&lt;&gt;D12))"),"탑임성빈,정글심재현,미드김응민,원딜이창호,서폿김현수")</f>
        <v>탑임성빈,정글심재현,미드김응민,원딜이창호,서폿김현수</v>
      </c>
      <c r="P12" s="4" t="e">
        <f ca="1">_xludf.LET(
  w,COUNTIFS($C:$C,$S12,$E:$E,"승"),
  l,COUNTIFS($C:$C,$S12,$E:$E,"패"),
  IF(w+l=0,"","승 "&amp;w&amp;" / 패 "&amp;l)
)</f>
        <v>#NAME?</v>
      </c>
      <c r="Q12" s="5" t="e">
        <f ca="1">_xludf.LET(
  w,COUNTIFS($C:$C,$S12,$F:$F,$T12,$E:$E,"승"),
  l,COUNTIFS($C:$C,$S12,$F:$F,$T12,$E:$E,"패"),
  IF(w+l=0,"","승 "&amp;w&amp;" / 패 "&amp;l))</f>
        <v>#NAME?</v>
      </c>
      <c r="R12" s="4" t="e">
        <f ca="1">_xludf.LET(
  w,COUNTIFS($C:$C,$S12,$F:$F,$T12,$G:$G,$U12,$E:$E,"승"),
  l,COUNTIFS($C:$C,$S12,$F:$F,$T12,$G:$G,$U12,$E:$E,"패"),
  IF(w+l=0,"","승 "&amp;w&amp;" / 패 "&amp;l)
)</f>
        <v>#NAME?</v>
      </c>
      <c r="S12" s="1" t="s">
        <v>42</v>
      </c>
      <c r="T12" s="4"/>
      <c r="U12" s="4"/>
      <c r="AA12" s="1" t="s">
        <v>14</v>
      </c>
      <c r="AB12" s="1" t="s">
        <v>16</v>
      </c>
      <c r="AC12" s="1" t="s">
        <v>19</v>
      </c>
      <c r="AD12" s="4" t="e">
        <f ca="1"/>
        <v>#NAME?</v>
      </c>
    </row>
    <row r="13" spans="1:32" ht="12.75" x14ac:dyDescent="0.2">
      <c r="A13" s="7">
        <v>46012</v>
      </c>
      <c r="B13" s="1">
        <v>2</v>
      </c>
      <c r="C13" s="1" t="s">
        <v>21</v>
      </c>
      <c r="D13" s="1" t="str">
        <f t="shared" si="0"/>
        <v/>
      </c>
      <c r="E13" s="1" t="s">
        <v>33</v>
      </c>
      <c r="F13" s="1" t="s">
        <v>22</v>
      </c>
      <c r="G13" s="1" t="s">
        <v>34</v>
      </c>
      <c r="H13" s="1">
        <v>1</v>
      </c>
      <c r="I13" s="1">
        <v>6</v>
      </c>
      <c r="J13" s="1">
        <v>1</v>
      </c>
      <c r="K13" s="2">
        <v>6674</v>
      </c>
      <c r="L13" s="2">
        <v>4989</v>
      </c>
      <c r="M13" s="1"/>
      <c r="O13" s="4" t="str">
        <f ca="1">IFERROR(__xludf.DUMMYFUNCTION("TEXTJOIN("","", TRUE, FILTER($E$2:$E1000 &amp; $C$2:$C1000, $A$2:$A1000=A13, $B$2:$B1000=B13, $D$2:$D1000&lt;&gt;D13))"),"탑임성빈,정글심재현,미드김응민,원딜이창호,서폿김현수")</f>
        <v>탑임성빈,정글심재현,미드김응민,원딜이창호,서폿김현수</v>
      </c>
      <c r="P13" s="4" t="e">
        <f ca="1">_xludf.LET(
  w,COUNTIFS($C:$C,$S13,$E:$E,"승"),
  l,COUNTIFS($C:$C,$S13,$E:$E,"패"),
  IF(w+l=0,"","승 "&amp;w&amp;" / 패 "&amp;l)
)</f>
        <v>#NAME?</v>
      </c>
      <c r="Q13" s="5" t="e">
        <f ca="1">_xludf.LET(
  w,COUNTIFS($C:$C,$S13,$F:$F,$T13,$E:$E,"승"),
  l,COUNTIFS($C:$C,$S13,$F:$F,$T13,$E:$E,"패"),
  IF(w+l=0,"","승 "&amp;w&amp;" / 패 "&amp;l))</f>
        <v>#NAME?</v>
      </c>
      <c r="R13" s="4" t="e">
        <f ca="1">_xludf.LET(
  w,COUNTIFS($C:$C,$S13,$F:$F,$T13,$G:$G,$U13,$E:$E,"승"),
  l,COUNTIFS($C:$C,$S13,$F:$F,$T13,$G:$G,$U13,$E:$E,"패"),
  IF(w+l=0,"","승 "&amp;w&amp;" / 패 "&amp;l)
)</f>
        <v>#NAME?</v>
      </c>
      <c r="S13" s="1" t="s">
        <v>44</v>
      </c>
      <c r="T13" s="4"/>
      <c r="U13" s="4"/>
      <c r="AA13" s="1" t="s">
        <v>14</v>
      </c>
      <c r="AB13" s="1" t="s">
        <v>16</v>
      </c>
      <c r="AC13" s="1" t="s">
        <v>19</v>
      </c>
      <c r="AD13" s="4" t="e">
        <f ca="1"/>
        <v>#NAME?</v>
      </c>
    </row>
    <row r="14" spans="1:32" ht="12.75" x14ac:dyDescent="0.2">
      <c r="A14" s="7">
        <v>46012</v>
      </c>
      <c r="B14" s="1">
        <v>2</v>
      </c>
      <c r="C14" s="1" t="s">
        <v>37</v>
      </c>
      <c r="D14" s="1" t="str">
        <f t="shared" si="0"/>
        <v/>
      </c>
      <c r="E14" s="1" t="s">
        <v>33</v>
      </c>
      <c r="F14" s="1" t="s">
        <v>18</v>
      </c>
      <c r="G14" s="1" t="s">
        <v>24</v>
      </c>
      <c r="H14" s="1">
        <v>0</v>
      </c>
      <c r="I14" s="1">
        <v>3</v>
      </c>
      <c r="J14" s="1">
        <v>1</v>
      </c>
      <c r="K14" s="2">
        <v>4984</v>
      </c>
      <c r="L14" s="2">
        <v>5726</v>
      </c>
      <c r="M14" s="1"/>
      <c r="O14" s="4" t="str">
        <f ca="1">IFERROR(__xludf.DUMMYFUNCTION("TEXTJOIN("","", TRUE, FILTER($E$2:$E1000 &amp; $C$2:$C1000, $A$2:$A1000=A14, $B$2:$B1000=B14, $D$2:$D1000&lt;&gt;D14))"),"탑임성빈,정글심재현,미드김응민,원딜이창호,서폿김현수")</f>
        <v>탑임성빈,정글심재현,미드김응민,원딜이창호,서폿김현수</v>
      </c>
      <c r="P14" s="4" t="e">
        <f ca="1">_xludf.LET(
  w,COUNTIFS($C:$C,$S14,$E:$E,"승"),
  l,COUNTIFS($C:$C,$S14,$E:$E,"패"),
  IF(w+l=0,"","승 "&amp;w&amp;" / 패 "&amp;l)
)</f>
        <v>#NAME?</v>
      </c>
      <c r="Q14" s="5" t="e">
        <f ca="1">_xludf.LET(
  w,COUNTIFS($C:$C,$S14,$F:$F,$T14,$E:$E,"승"),
  l,COUNTIFS($C:$C,$S14,$F:$F,$T14,$E:$E,"패"),
  IF(w+l=0,"","승 "&amp;w&amp;" / 패 "&amp;l))</f>
        <v>#NAME?</v>
      </c>
      <c r="R14" s="4" t="e">
        <f ca="1">_xludf.LET(
  w,COUNTIFS($C:$C,$S14,$F:$F,$T14,$G:$G,$U14,$E:$E,"승"),
  l,COUNTIFS($C:$C,$S14,$F:$F,$T14,$G:$G,$U14,$E:$E,"패"),
  IF(w+l=0,"","승 "&amp;w&amp;" / 패 "&amp;l)
)</f>
        <v>#NAME?</v>
      </c>
      <c r="S14" s="1" t="s">
        <v>45</v>
      </c>
      <c r="T14" s="4"/>
      <c r="U14" s="4"/>
      <c r="AA14" s="1" t="s">
        <v>14</v>
      </c>
      <c r="AB14" s="1" t="s">
        <v>16</v>
      </c>
      <c r="AC14" s="1" t="s">
        <v>19</v>
      </c>
      <c r="AD14" s="4" t="e">
        <f ca="1"/>
        <v>#NAME?</v>
      </c>
    </row>
    <row r="15" spans="1:32" ht="12.75" x14ac:dyDescent="0.2">
      <c r="A15" s="7">
        <v>46012</v>
      </c>
      <c r="B15" s="1">
        <v>2</v>
      </c>
      <c r="C15" s="1" t="s">
        <v>27</v>
      </c>
      <c r="D15" s="1" t="str">
        <f t="shared" si="0"/>
        <v/>
      </c>
      <c r="E15" s="1" t="s">
        <v>33</v>
      </c>
      <c r="F15" s="1" t="s">
        <v>28</v>
      </c>
      <c r="G15" s="1" t="s">
        <v>64</v>
      </c>
      <c r="H15" s="1">
        <v>0</v>
      </c>
      <c r="I15" s="1">
        <v>5</v>
      </c>
      <c r="J15" s="1">
        <v>0</v>
      </c>
      <c r="K15" s="2">
        <v>4543</v>
      </c>
      <c r="L15" s="2">
        <v>3911</v>
      </c>
      <c r="M15" s="1"/>
      <c r="O15" s="4" t="str">
        <f ca="1">IFERROR(__xludf.DUMMYFUNCTION("TEXTJOIN("","", TRUE, FILTER($E$2:$E1000 &amp; $C$2:$C1000, $A$2:$A1000=A15, $B$2:$B1000=B15, $D$2:$D1000&lt;&gt;D15))"),"탑임성빈,정글심재현,미드김응민,원딜이창호,서폿김현수")</f>
        <v>탑임성빈,정글심재현,미드김응민,원딜이창호,서폿김현수</v>
      </c>
      <c r="P15" s="4" t="e">
        <f ca="1">_xludf.LET(
  w,COUNTIFS($C:$C,$S15,$E:$E,"승"),
  l,COUNTIFS($C:$C,$S15,$E:$E,"패"),
  IF(w+l=0,"","승 "&amp;w&amp;" / 패 "&amp;l)
)</f>
        <v>#NAME?</v>
      </c>
      <c r="Q15" s="5" t="e">
        <f ca="1">_xludf.LET(
  w,COUNTIFS($C:$C,$S15,$F:$F,$T15,$E:$E,"승"),
  l,COUNTIFS($C:$C,$S15,$F:$F,$T15,$E:$E,"패"),
  IF(w+l=0,"","승 "&amp;w&amp;" / 패 "&amp;l))</f>
        <v>#NAME?</v>
      </c>
      <c r="R15" s="4" t="e">
        <f ca="1">_xludf.LET(
  w,COUNTIFS($C:$C,$S15,$F:$F,$T15,$G:$G,$U15,$E:$E,"승"),
  l,COUNTIFS($C:$C,$S15,$F:$F,$T15,$G:$G,$U15,$E:$E,"패"),
  IF(w+l=0,"","승 "&amp;w&amp;" / 패 "&amp;l)
)</f>
        <v>#NAME?</v>
      </c>
      <c r="S15" s="1" t="s">
        <v>47</v>
      </c>
      <c r="T15" s="4"/>
      <c r="U15" s="4"/>
      <c r="AA15" s="1" t="s">
        <v>14</v>
      </c>
      <c r="AB15" s="1" t="s">
        <v>16</v>
      </c>
      <c r="AC15" s="1" t="s">
        <v>19</v>
      </c>
      <c r="AD15" s="4" t="e">
        <f ca="1"/>
        <v>#NAME?</v>
      </c>
    </row>
    <row r="16" spans="1:32" ht="12.75" x14ac:dyDescent="0.2">
      <c r="A16" s="7">
        <v>46012</v>
      </c>
      <c r="B16" s="1">
        <v>2</v>
      </c>
      <c r="C16" s="1" t="s">
        <v>20</v>
      </c>
      <c r="D16" s="1" t="str">
        <f t="shared" si="0"/>
        <v/>
      </c>
      <c r="E16" s="1" t="s">
        <v>33</v>
      </c>
      <c r="F16" s="1" t="s">
        <v>30</v>
      </c>
      <c r="G16" s="1" t="s">
        <v>86</v>
      </c>
      <c r="H16" s="1">
        <v>0</v>
      </c>
      <c r="I16" s="1">
        <v>4</v>
      </c>
      <c r="J16" s="1">
        <v>0</v>
      </c>
      <c r="K16" s="2">
        <v>3140</v>
      </c>
      <c r="L16" s="2">
        <v>3375</v>
      </c>
      <c r="M16" s="1"/>
      <c r="O16" s="4" t="str">
        <f ca="1">IFERROR(__xludf.DUMMYFUNCTION("TEXTJOIN("","", TRUE, FILTER($E$2:$E1000 &amp; $C$2:$C1000, $A$2:$A1000=A16, $B$2:$B1000=B16, $D$2:$D1000&lt;&gt;D16))"),"탑임성빈,정글심재현,미드김응민,원딜이창호,서폿김현수")</f>
        <v>탑임성빈,정글심재현,미드김응민,원딜이창호,서폿김현수</v>
      </c>
      <c r="P16" s="4" t="e">
        <f ca="1">_xludf.LET(
  w,COUNTIFS($C:$C,$S16,$E:$E,"승"),
  l,COUNTIFS($C:$C,$S16,$E:$E,"패"),
  IF(w+l=0,"","승 "&amp;w&amp;" / 패 "&amp;l)
)</f>
        <v>#NAME?</v>
      </c>
      <c r="Q16" s="5" t="e">
        <f ca="1">_xludf.LET(
  w,COUNTIFS($C:$C,$S16,$F:$F,$T16,$E:$E,"승"),
  l,COUNTIFS($C:$C,$S16,$F:$F,$T16,$E:$E,"패"),
  IF(w+l=0,"","승 "&amp;w&amp;" / 패 "&amp;l))</f>
        <v>#NAME?</v>
      </c>
      <c r="R16" s="4" t="e">
        <f ca="1">_xludf.LET(
  w,COUNTIFS($C:$C,$S16,$F:$F,$T16,$G:$G,$U16,$E:$E,"승"),
  l,COUNTIFS($C:$C,$S16,$F:$F,$T16,$G:$G,$U16,$E:$E,"패"),
  IF(w+l=0,"","승 "&amp;w&amp;" / 패 "&amp;l)
)</f>
        <v>#NAME?</v>
      </c>
      <c r="S16" s="1" t="s">
        <v>49</v>
      </c>
      <c r="T16" s="4"/>
      <c r="U16" s="4"/>
      <c r="AA16" s="1" t="s">
        <v>14</v>
      </c>
      <c r="AB16" s="1" t="s">
        <v>16</v>
      </c>
      <c r="AC16" s="1" t="s">
        <v>19</v>
      </c>
      <c r="AD16" s="4" t="e">
        <f ca="1"/>
        <v>#NAME?</v>
      </c>
    </row>
    <row r="17" spans="1:30" ht="12.75" x14ac:dyDescent="0.2">
      <c r="A17" s="7">
        <v>46012</v>
      </c>
      <c r="B17" s="1">
        <v>2</v>
      </c>
      <c r="C17" s="1" t="s">
        <v>45</v>
      </c>
      <c r="D17" s="1" t="str">
        <f t="shared" si="0"/>
        <v/>
      </c>
      <c r="E17" s="1" t="s">
        <v>15</v>
      </c>
      <c r="F17" s="1" t="s">
        <v>16</v>
      </c>
      <c r="G17" s="1" t="s">
        <v>87</v>
      </c>
      <c r="H17" s="1">
        <v>3</v>
      </c>
      <c r="I17" s="1">
        <v>1</v>
      </c>
      <c r="J17" s="1">
        <v>3</v>
      </c>
      <c r="K17" s="2">
        <v>9969</v>
      </c>
      <c r="L17" s="2">
        <v>5899</v>
      </c>
      <c r="M17" s="1"/>
      <c r="O17" s="4" t="str">
        <f ca="1">IFERROR(__xludf.DUMMYFUNCTION("TEXTJOIN("","", TRUE, FILTER($E$2:$E1000 &amp; $C$2:$C1000, $A$2:$A1000=A17, $B$2:$B1000=B17, $D$2:$D1000&lt;&gt;D17))"),"탑신동혁,정글지범진,미드박상호,원딜정용운,서폿이세환")</f>
        <v>탑신동혁,정글지범진,미드박상호,원딜정용운,서폿이세환</v>
      </c>
      <c r="P17" s="4" t="e">
        <f ca="1">_xludf.LET(
  w,COUNTIFS($C:$C,$S17,$E:$E,"승"),
  l,COUNTIFS($C:$C,$S17,$E:$E,"패"),
  IF(w+l=0,"","승 "&amp;w&amp;" / 패 "&amp;l)
)</f>
        <v>#NAME?</v>
      </c>
      <c r="Q17" s="5" t="e">
        <f ca="1">_xludf.LET(
  w,COUNTIFS($C:$C,$S17,$F:$F,$T17,$E:$E,"승"),
  l,COUNTIFS($C:$C,$S17,$F:$F,$T17,$E:$E,"패"),
  IF(w+l=0,"","승 "&amp;w&amp;" / 패 "&amp;l))</f>
        <v>#NAME?</v>
      </c>
      <c r="S17" s="1" t="s">
        <v>51</v>
      </c>
      <c r="T17" s="4"/>
      <c r="U17" s="4"/>
      <c r="AA17" s="1" t="s">
        <v>14</v>
      </c>
      <c r="AB17" s="1" t="s">
        <v>16</v>
      </c>
      <c r="AC17" s="1" t="s">
        <v>19</v>
      </c>
      <c r="AD17" s="4" t="e">
        <f ca="1"/>
        <v>#NAME?</v>
      </c>
    </row>
    <row r="18" spans="1:30" ht="12.75" x14ac:dyDescent="0.2">
      <c r="A18" s="7">
        <v>46012</v>
      </c>
      <c r="B18" s="1">
        <v>2</v>
      </c>
      <c r="C18" s="1" t="s">
        <v>44</v>
      </c>
      <c r="D18" s="1" t="str">
        <f t="shared" si="0"/>
        <v/>
      </c>
      <c r="E18" s="1" t="s">
        <v>15</v>
      </c>
      <c r="F18" s="1" t="s">
        <v>22</v>
      </c>
      <c r="G18" s="1" t="s">
        <v>62</v>
      </c>
      <c r="H18" s="1">
        <v>3</v>
      </c>
      <c r="I18" s="1">
        <v>0</v>
      </c>
      <c r="J18" s="1">
        <v>12</v>
      </c>
      <c r="K18" s="2">
        <v>7758</v>
      </c>
      <c r="L18" s="2">
        <v>6799</v>
      </c>
      <c r="M18" s="1"/>
      <c r="O18" s="4" t="str">
        <f ca="1">IFERROR(__xludf.DUMMYFUNCTION("TEXTJOIN("","", TRUE, FILTER($E$2:$E1000 &amp; $C$2:$C1000, $A$2:$A1000=A18, $B$2:$B1000=B18, $D$2:$D1000&lt;&gt;D18))"),"탑신동혁,정글지범진,미드박상호,원딜정용운,서폿이세환")</f>
        <v>탑신동혁,정글지범진,미드박상호,원딜정용운,서폿이세환</v>
      </c>
      <c r="P18" s="4" t="e">
        <f ca="1">_xludf.LET(
  w,COUNTIFS($C:$C,$S18,$E:$E,"승"),
  l,COUNTIFS($C:$C,$S18,$E:$E,"패"),
  IF(w+l=0,"","승 "&amp;w&amp;" / 패 "&amp;l)
)</f>
        <v>#NAME?</v>
      </c>
      <c r="Q18" s="5" t="e">
        <f ca="1">_xludf.LET(
  w,COUNTIFS($C:$C,$S18,$F:$F,$T18,$E:$E,"승"),
  l,COUNTIFS($C:$C,$S18,$F:$F,$T18,$E:$E,"패"),
  IF(w+l=0,"","승 "&amp;w&amp;" / 패 "&amp;l))</f>
        <v>#NAME?</v>
      </c>
      <c r="S18" s="1" t="s">
        <v>53</v>
      </c>
      <c r="T18" s="4"/>
      <c r="U18" s="4"/>
      <c r="AA18" s="1" t="s">
        <v>14</v>
      </c>
      <c r="AB18" s="1" t="s">
        <v>16</v>
      </c>
      <c r="AC18" s="1" t="s">
        <v>19</v>
      </c>
      <c r="AD18" s="4" t="e">
        <f ca="1"/>
        <v>#NAME?</v>
      </c>
    </row>
    <row r="19" spans="1:30" ht="12.75" x14ac:dyDescent="0.2">
      <c r="A19" s="7">
        <v>46012</v>
      </c>
      <c r="B19" s="1">
        <v>2</v>
      </c>
      <c r="C19" s="1" t="s">
        <v>14</v>
      </c>
      <c r="D19" s="1" t="str">
        <f t="shared" si="0"/>
        <v/>
      </c>
      <c r="E19" s="1" t="s">
        <v>15</v>
      </c>
      <c r="F19" s="1" t="s">
        <v>18</v>
      </c>
      <c r="G19" s="1" t="s">
        <v>82</v>
      </c>
      <c r="H19" s="1">
        <v>3</v>
      </c>
      <c r="I19" s="1">
        <v>0</v>
      </c>
      <c r="J19" s="1">
        <v>11</v>
      </c>
      <c r="K19" s="2">
        <v>5991</v>
      </c>
      <c r="L19" s="2">
        <v>6615</v>
      </c>
      <c r="M19" s="1"/>
      <c r="O19" s="4" t="str">
        <f ca="1">IFERROR(__xludf.DUMMYFUNCTION("TEXTJOIN("","", TRUE, FILTER($E$2:$E1000 &amp; $C$2:$C1000, $A$2:$A1000=A19, $B$2:$B1000=B19, $D$2:$D1000&lt;&gt;D19))"),"탑신동혁,정글지범진,미드박상호,원딜정용운,서폿이세환")</f>
        <v>탑신동혁,정글지범진,미드박상호,원딜정용운,서폿이세환</v>
      </c>
      <c r="P19" s="4" t="e">
        <f ca="1">_xludf.LET(
  w,COUNTIFS($C:$C,$S19,$E:$E,"승"),
  l,COUNTIFS($C:$C,$S19,$E:$E,"패"),
  IF(w+l=0,"","승 "&amp;w&amp;" / 패 "&amp;l)
)</f>
        <v>#NAME?</v>
      </c>
      <c r="S19" s="1" t="s">
        <v>54</v>
      </c>
      <c r="T19" s="4"/>
      <c r="U19" s="4"/>
      <c r="AA19" s="1" t="s">
        <v>14</v>
      </c>
      <c r="AB19" s="1" t="s">
        <v>16</v>
      </c>
      <c r="AC19" s="1" t="s">
        <v>19</v>
      </c>
      <c r="AD19" s="4" t="e">
        <f ca="1"/>
        <v>#NAME?</v>
      </c>
    </row>
    <row r="20" spans="1:30" ht="12.75" x14ac:dyDescent="0.2">
      <c r="A20" s="7">
        <v>46012</v>
      </c>
      <c r="B20" s="1">
        <v>2</v>
      </c>
      <c r="C20" s="1" t="s">
        <v>42</v>
      </c>
      <c r="D20" s="1" t="str">
        <f t="shared" si="0"/>
        <v/>
      </c>
      <c r="E20" s="1" t="s">
        <v>15</v>
      </c>
      <c r="F20" s="1" t="s">
        <v>28</v>
      </c>
      <c r="G20" s="1" t="s">
        <v>84</v>
      </c>
      <c r="H20" s="1">
        <v>8</v>
      </c>
      <c r="I20" s="1">
        <v>0</v>
      </c>
      <c r="J20" s="1">
        <v>4</v>
      </c>
      <c r="K20" s="2">
        <v>12598</v>
      </c>
      <c r="L20" s="2">
        <v>8135</v>
      </c>
      <c r="M20" s="1"/>
      <c r="O20" s="4" t="str">
        <f ca="1">IFERROR(__xludf.DUMMYFUNCTION("TEXTJOIN("","", TRUE, FILTER($E$2:$E1000 &amp; $C$2:$C1000, $A$2:$A1000=A20, $B$2:$B1000=B20, $D$2:$D1000&lt;&gt;D20))"),"탑신동혁,정글지범진,미드박상호,원딜정용운,서폿이세환")</f>
        <v>탑신동혁,정글지범진,미드박상호,원딜정용운,서폿이세환</v>
      </c>
      <c r="P20" s="4" t="e">
        <f ca="1">_xludf.LET(
  w,COUNTIFS($C:$C,$S20,$E:$E,"승"),
  l,COUNTIFS($C:$C,$S20,$E:$E,"패"),
  IF(w+l=0,"","승 "&amp;w&amp;" / 패 "&amp;l)
)</f>
        <v>#NAME?</v>
      </c>
      <c r="S20" s="1" t="s">
        <v>56</v>
      </c>
      <c r="T20" s="4"/>
      <c r="U20" s="4"/>
      <c r="AA20" s="1" t="s">
        <v>14</v>
      </c>
      <c r="AB20" s="1" t="s">
        <v>16</v>
      </c>
      <c r="AC20" s="1" t="s">
        <v>19</v>
      </c>
      <c r="AD20" s="4" t="e">
        <f ca="1"/>
        <v>#NAME?</v>
      </c>
    </row>
    <row r="21" spans="1:30" ht="12.75" x14ac:dyDescent="0.2">
      <c r="A21" s="7">
        <v>46012</v>
      </c>
      <c r="B21" s="1">
        <v>2</v>
      </c>
      <c r="C21" s="1" t="s">
        <v>40</v>
      </c>
      <c r="D21" s="1" t="str">
        <f t="shared" si="0"/>
        <v/>
      </c>
      <c r="E21" s="1" t="s">
        <v>15</v>
      </c>
      <c r="F21" s="1" t="s">
        <v>30</v>
      </c>
      <c r="G21" s="1" t="s">
        <v>41</v>
      </c>
      <c r="H21" s="1">
        <v>5</v>
      </c>
      <c r="I21" s="1">
        <v>1</v>
      </c>
      <c r="J21" s="1">
        <v>11</v>
      </c>
      <c r="K21" s="2">
        <v>9770</v>
      </c>
      <c r="L21" s="2">
        <v>5549</v>
      </c>
      <c r="M21" s="1"/>
      <c r="O21" s="4" t="str">
        <f ca="1">IFERROR(__xludf.DUMMYFUNCTION("TEXTJOIN("","", TRUE, FILTER($E$2:$E1000 &amp; $C$2:$C1000, $A$2:$A1000=A21, $B$2:$B1000=B21, $D$2:$D1000&lt;&gt;D21))"),"탑신동혁,정글지범진,미드박상호,원딜정용운,서폿이세환")</f>
        <v>탑신동혁,정글지범진,미드박상호,원딜정용운,서폿이세환</v>
      </c>
      <c r="P21" s="4" t="e">
        <f ca="1">_xludf.LET(
  w,COUNTIFS($C:$C,$S21,$E:$E,"승"),
  l,COUNTIFS($C:$C,$S21,$E:$E,"패"),
  IF(w+l=0,"","승 "&amp;w&amp;" / 패 "&amp;l)
)</f>
        <v>#NAME?</v>
      </c>
      <c r="S21" s="1" t="s">
        <v>58</v>
      </c>
      <c r="T21" s="4"/>
      <c r="U21" s="4"/>
      <c r="AA21" s="1" t="s">
        <v>14</v>
      </c>
      <c r="AB21" s="1" t="s">
        <v>16</v>
      </c>
      <c r="AC21" s="1" t="s">
        <v>19</v>
      </c>
      <c r="AD21" s="4" t="e">
        <f ca="1"/>
        <v>#NAME?</v>
      </c>
    </row>
    <row r="22" spans="1:30" ht="12.75" x14ac:dyDescent="0.2">
      <c r="A22" s="7">
        <v>46012</v>
      </c>
      <c r="B22" s="1">
        <v>3</v>
      </c>
      <c r="C22" s="1" t="s">
        <v>32</v>
      </c>
      <c r="D22" s="1" t="str">
        <f t="shared" si="0"/>
        <v/>
      </c>
      <c r="E22" s="1" t="s">
        <v>33</v>
      </c>
      <c r="F22" s="1" t="s">
        <v>16</v>
      </c>
      <c r="G22" s="1" t="s">
        <v>76</v>
      </c>
      <c r="H22" s="1">
        <v>1</v>
      </c>
      <c r="I22" s="1">
        <v>6</v>
      </c>
      <c r="J22" s="1">
        <v>0</v>
      </c>
      <c r="K22" s="2">
        <v>11704</v>
      </c>
      <c r="L22" s="2">
        <v>8720</v>
      </c>
      <c r="M22" s="1"/>
      <c r="O22" s="4" t="str">
        <f ca="1">IFERROR(__xludf.DUMMYFUNCTION("TEXTJOIN("","", TRUE, FILTER($E$2:$E1000 &amp; $C$2:$C1000, $A$2:$A1000=A22, $B$2:$B1000=B22, $D$2:$D1000&lt;&gt;D22))"),"탑임성빈,정글심재현,미드김응민,원딜이창호,서폿김현수")</f>
        <v>탑임성빈,정글심재현,미드김응민,원딜이창호,서폿김현수</v>
      </c>
      <c r="P22" s="4" t="e">
        <f ca="1">_xludf.LET(
  w,COUNTIFS($C:$C,$S22,$E:$E,"승"),
  l,COUNTIFS($C:$C,$S22,$E:$E,"패"),
  IF(w+l=0,"","승 "&amp;w&amp;" / 패 "&amp;l)
)</f>
        <v>#NAME?</v>
      </c>
      <c r="S22" s="1" t="s">
        <v>14</v>
      </c>
      <c r="T22" s="4"/>
      <c r="U22" s="4"/>
      <c r="AD22" s="4" t="e">
        <f ca="1"/>
        <v>#NAME?</v>
      </c>
    </row>
    <row r="23" spans="1:30" ht="12.75" x14ac:dyDescent="0.2">
      <c r="A23" s="7">
        <v>46012</v>
      </c>
      <c r="B23" s="1">
        <v>3</v>
      </c>
      <c r="C23" s="1" t="s">
        <v>21</v>
      </c>
      <c r="D23" s="1" t="str">
        <f t="shared" si="0"/>
        <v/>
      </c>
      <c r="E23" s="1" t="s">
        <v>33</v>
      </c>
      <c r="F23" s="1" t="s">
        <v>22</v>
      </c>
      <c r="G23" s="1" t="s">
        <v>77</v>
      </c>
      <c r="H23" s="1">
        <v>1</v>
      </c>
      <c r="I23" s="1">
        <v>6</v>
      </c>
      <c r="J23" s="1">
        <v>3</v>
      </c>
      <c r="K23" s="2">
        <v>9198</v>
      </c>
      <c r="L23" s="2">
        <v>7788</v>
      </c>
      <c r="M23" s="1"/>
      <c r="O23" s="4" t="str">
        <f ca="1">IFERROR(__xludf.DUMMYFUNCTION("TEXTJOIN("","", TRUE, FILTER($E$2:$E1000 &amp; $C$2:$C1000, $A$2:$A1000=A23, $B$2:$B1000=B23, $D$2:$D1000&lt;&gt;D23))"),"탑임성빈,정글심재현,미드김응민,원딜이창호,서폿김현수")</f>
        <v>탑임성빈,정글심재현,미드김응민,원딜이창호,서폿김현수</v>
      </c>
    </row>
    <row r="24" spans="1:30" ht="12.75" x14ac:dyDescent="0.2">
      <c r="A24" s="7">
        <v>46012</v>
      </c>
      <c r="B24" s="1">
        <v>3</v>
      </c>
      <c r="C24" s="1" t="s">
        <v>37</v>
      </c>
      <c r="D24" s="1" t="str">
        <f t="shared" si="0"/>
        <v/>
      </c>
      <c r="E24" s="1" t="s">
        <v>33</v>
      </c>
      <c r="F24" s="1" t="s">
        <v>18</v>
      </c>
      <c r="G24" s="1" t="s">
        <v>60</v>
      </c>
      <c r="H24" s="1">
        <v>2</v>
      </c>
      <c r="I24" s="1">
        <v>0</v>
      </c>
      <c r="J24" s="1">
        <v>5</v>
      </c>
      <c r="K24" s="2">
        <v>19985</v>
      </c>
      <c r="L24" s="2">
        <v>9930</v>
      </c>
      <c r="M24" s="1"/>
      <c r="O24" s="4" t="str">
        <f ca="1">IFERROR(__xludf.DUMMYFUNCTION("TEXTJOIN("","", TRUE, FILTER($E$2:$E1000 &amp; $C$2:$C1000, $A$2:$A1000=A24, $B$2:$B1000=B24, $D$2:$D1000&lt;&gt;D24))"),"탑임성빈,정글심재현,미드김응민,원딜이창호,서폿김현수")</f>
        <v>탑임성빈,정글심재현,미드김응민,원딜이창호,서폿김현수</v>
      </c>
    </row>
    <row r="25" spans="1:30" ht="12.75" x14ac:dyDescent="0.2">
      <c r="A25" s="7">
        <v>46012</v>
      </c>
      <c r="B25" s="1">
        <v>3</v>
      </c>
      <c r="C25" s="1" t="s">
        <v>27</v>
      </c>
      <c r="D25" s="1" t="str">
        <f t="shared" si="0"/>
        <v/>
      </c>
      <c r="E25" s="1" t="s">
        <v>33</v>
      </c>
      <c r="F25" s="1" t="s">
        <v>28</v>
      </c>
      <c r="G25" s="1" t="s">
        <v>84</v>
      </c>
      <c r="H25" s="1">
        <v>5</v>
      </c>
      <c r="I25" s="1">
        <v>4</v>
      </c>
      <c r="J25" s="1">
        <v>2</v>
      </c>
      <c r="K25" s="2">
        <v>19621</v>
      </c>
      <c r="L25" s="2">
        <v>10923</v>
      </c>
      <c r="M25" s="1"/>
      <c r="O25" s="4" t="str">
        <f ca="1">IFERROR(__xludf.DUMMYFUNCTION("TEXTJOIN("","", TRUE, FILTER($E$2:$E1000 &amp; $C$2:$C1000, $A$2:$A1000=A25, $B$2:$B1000=B25, $D$2:$D1000&lt;&gt;D25))"),"탑임성빈,정글심재현,미드김응민,원딜이창호,서폿김현수")</f>
        <v>탑임성빈,정글심재현,미드김응민,원딜이창호,서폿김현수</v>
      </c>
    </row>
    <row r="26" spans="1:30" ht="12.75" x14ac:dyDescent="0.2">
      <c r="A26" s="7">
        <v>46012</v>
      </c>
      <c r="B26" s="1">
        <v>3</v>
      </c>
      <c r="C26" s="1" t="s">
        <v>20</v>
      </c>
      <c r="D26" s="1" t="str">
        <f t="shared" si="0"/>
        <v/>
      </c>
      <c r="E26" s="1" t="s">
        <v>33</v>
      </c>
      <c r="F26" s="1" t="s">
        <v>30</v>
      </c>
      <c r="G26" s="1" t="s">
        <v>41</v>
      </c>
      <c r="H26" s="1">
        <v>1</v>
      </c>
      <c r="I26" s="1">
        <v>6</v>
      </c>
      <c r="J26" s="1">
        <v>7</v>
      </c>
      <c r="K26" s="2">
        <v>9906</v>
      </c>
      <c r="L26" s="2">
        <v>6259</v>
      </c>
      <c r="M26" s="1"/>
      <c r="O26" s="4" t="str">
        <f ca="1">IFERROR(__xludf.DUMMYFUNCTION("TEXTJOIN("","", TRUE, FILTER($E$2:$E1000 &amp; $C$2:$C1000, $A$2:$A1000=A26, $B$2:$B1000=B26, $D$2:$D1000&lt;&gt;D26))"),"탑임성빈,정글심재현,미드김응민,원딜이창호,서폿김현수")</f>
        <v>탑임성빈,정글심재현,미드김응민,원딜이창호,서폿김현수</v>
      </c>
    </row>
    <row r="27" spans="1:30" ht="12.75" x14ac:dyDescent="0.2">
      <c r="A27" s="7">
        <v>46012</v>
      </c>
      <c r="B27" s="1">
        <v>3</v>
      </c>
      <c r="C27" s="1" t="s">
        <v>45</v>
      </c>
      <c r="D27" s="1" t="str">
        <f t="shared" si="0"/>
        <v/>
      </c>
      <c r="E27" s="1" t="s">
        <v>15</v>
      </c>
      <c r="F27" s="1" t="s">
        <v>16</v>
      </c>
      <c r="G27" s="1" t="s">
        <v>87</v>
      </c>
      <c r="H27" s="1">
        <v>3</v>
      </c>
      <c r="I27" s="1">
        <v>0</v>
      </c>
      <c r="J27" s="1">
        <v>3</v>
      </c>
      <c r="K27" s="2">
        <v>10793</v>
      </c>
      <c r="L27" s="2">
        <v>9172</v>
      </c>
      <c r="M27" s="1"/>
      <c r="O27" s="4" t="str">
        <f ca="1">IFERROR(__xludf.DUMMYFUNCTION("TEXTJOIN("","", TRUE, FILTER($E$2:$E1000 &amp; $C$2:$C1000, $A$2:$A1000=A27, $B$2:$B1000=B27, $D$2:$D1000&lt;&gt;D27))"),"탑신동혁,정글지범진,미드박상호,원딜정용운,서폿이세환")</f>
        <v>탑신동혁,정글지범진,미드박상호,원딜정용운,서폿이세환</v>
      </c>
    </row>
    <row r="28" spans="1:30" ht="12.75" x14ac:dyDescent="0.2">
      <c r="A28" s="7">
        <v>46012</v>
      </c>
      <c r="B28" s="1">
        <v>3</v>
      </c>
      <c r="C28" s="1" t="s">
        <v>44</v>
      </c>
      <c r="D28" s="1" t="str">
        <f t="shared" si="0"/>
        <v/>
      </c>
      <c r="E28" s="1" t="s">
        <v>15</v>
      </c>
      <c r="F28" s="1" t="s">
        <v>22</v>
      </c>
      <c r="G28" s="1" t="s">
        <v>79</v>
      </c>
      <c r="H28" s="1">
        <v>6</v>
      </c>
      <c r="I28" s="1">
        <v>2</v>
      </c>
      <c r="J28" s="1">
        <v>11</v>
      </c>
      <c r="K28" s="2">
        <v>17540</v>
      </c>
      <c r="L28" s="2">
        <v>10873</v>
      </c>
      <c r="M28" s="1"/>
      <c r="O28" s="4" t="str">
        <f ca="1">IFERROR(__xludf.DUMMYFUNCTION("TEXTJOIN("","", TRUE, FILTER($E$2:$E1000 &amp; $C$2:$C1000, $A$2:$A1000=A28, $B$2:$B1000=B28, $D$2:$D1000&lt;&gt;D28))"),"탑신동혁,정글지범진,미드박상호,원딜정용운,서폿이세환")</f>
        <v>탑신동혁,정글지범진,미드박상호,원딜정용운,서폿이세환</v>
      </c>
    </row>
    <row r="29" spans="1:30" ht="12.75" x14ac:dyDescent="0.2">
      <c r="A29" s="7">
        <v>46012</v>
      </c>
      <c r="B29" s="1">
        <v>3</v>
      </c>
      <c r="C29" s="1" t="s">
        <v>14</v>
      </c>
      <c r="D29" s="1" t="str">
        <f t="shared" si="0"/>
        <v/>
      </c>
      <c r="E29" s="1" t="s">
        <v>15</v>
      </c>
      <c r="F29" s="1" t="s">
        <v>18</v>
      </c>
      <c r="G29" s="1" t="s">
        <v>17</v>
      </c>
      <c r="H29" s="1">
        <v>6</v>
      </c>
      <c r="I29" s="1">
        <v>3</v>
      </c>
      <c r="J29" s="1">
        <v>5</v>
      </c>
      <c r="K29" s="2">
        <v>14729</v>
      </c>
      <c r="L29" s="2">
        <v>9789</v>
      </c>
      <c r="M29" s="1"/>
      <c r="O29" s="4" t="str">
        <f ca="1">IFERROR(__xludf.DUMMYFUNCTION("TEXTJOIN("","", TRUE, FILTER($E$2:$E1000 &amp; $C$2:$C1000, $A$2:$A1000=A29, $B$2:$B1000=B29, $D$2:$D1000&lt;&gt;D29))"),"탑신동혁,정글지범진,미드박상호,원딜정용운,서폿이세환")</f>
        <v>탑신동혁,정글지범진,미드박상호,원딜정용운,서폿이세환</v>
      </c>
    </row>
    <row r="30" spans="1:30" ht="12.75" x14ac:dyDescent="0.2">
      <c r="A30" s="7">
        <v>46012</v>
      </c>
      <c r="B30" s="1">
        <v>3</v>
      </c>
      <c r="C30" s="1" t="s">
        <v>42</v>
      </c>
      <c r="D30" s="1" t="str">
        <f t="shared" si="0"/>
        <v/>
      </c>
      <c r="E30" s="1" t="s">
        <v>15</v>
      </c>
      <c r="F30" s="1" t="s">
        <v>28</v>
      </c>
      <c r="G30" s="1" t="s">
        <v>59</v>
      </c>
      <c r="H30" s="1">
        <v>3</v>
      </c>
      <c r="I30" s="1">
        <v>3</v>
      </c>
      <c r="J30" s="1">
        <v>7</v>
      </c>
      <c r="K30" s="2">
        <v>10166</v>
      </c>
      <c r="L30" s="2">
        <v>11323</v>
      </c>
      <c r="M30" s="1"/>
      <c r="O30" s="4" t="str">
        <f ca="1">IFERROR(__xludf.DUMMYFUNCTION("TEXTJOIN("","", TRUE, FILTER($E$2:$E1000 &amp; $C$2:$C1000, $A$2:$A1000=A30, $B$2:$B1000=B30, $D$2:$D1000&lt;&gt;D30))"),"탑신동혁,정글지범진,미드박상호,원딜정용운,서폿이세환")</f>
        <v>탑신동혁,정글지범진,미드박상호,원딜정용운,서폿이세환</v>
      </c>
    </row>
    <row r="31" spans="1:30" ht="12.75" x14ac:dyDescent="0.2">
      <c r="A31" s="7">
        <v>46012</v>
      </c>
      <c r="B31" s="1">
        <v>3</v>
      </c>
      <c r="C31" s="1" t="s">
        <v>40</v>
      </c>
      <c r="D31" s="1" t="str">
        <f t="shared" si="0"/>
        <v/>
      </c>
      <c r="E31" s="1" t="s">
        <v>15</v>
      </c>
      <c r="F31" s="1" t="s">
        <v>30</v>
      </c>
      <c r="G31" s="1" t="s">
        <v>88</v>
      </c>
      <c r="H31" s="1">
        <v>4</v>
      </c>
      <c r="I31" s="1">
        <v>2</v>
      </c>
      <c r="J31" s="1">
        <v>14</v>
      </c>
      <c r="K31" s="2">
        <v>11508</v>
      </c>
      <c r="L31" s="2">
        <v>7851</v>
      </c>
      <c r="M31" s="1"/>
      <c r="O31" s="4" t="str">
        <f ca="1">IFERROR(__xludf.DUMMYFUNCTION("TEXTJOIN("","", TRUE, FILTER($E$2:$E1000 &amp; $C$2:$C1000, $A$2:$A1000=A31, $B$2:$B1000=B31, $D$2:$D1000&lt;&gt;D31))"),"탑신동혁,정글지범진,미드박상호,원딜정용운,서폿이세환")</f>
        <v>탑신동혁,정글지범진,미드박상호,원딜정용운,서폿이세환</v>
      </c>
    </row>
    <row r="32" spans="1:30" ht="12.75" x14ac:dyDescent="0.2">
      <c r="A32" s="3">
        <v>46019</v>
      </c>
      <c r="B32" s="1">
        <v>1</v>
      </c>
      <c r="C32" s="1" t="s">
        <v>32</v>
      </c>
      <c r="D32" s="1" t="str">
        <f t="shared" si="0"/>
        <v>패</v>
      </c>
      <c r="E32" s="1" t="s">
        <v>33</v>
      </c>
      <c r="F32" s="1" t="s">
        <v>16</v>
      </c>
      <c r="G32" s="1" t="s">
        <v>66</v>
      </c>
      <c r="H32" s="1">
        <v>3</v>
      </c>
      <c r="I32" s="1">
        <v>6</v>
      </c>
      <c r="J32" s="1">
        <v>3</v>
      </c>
      <c r="K32" s="2">
        <v>16003</v>
      </c>
      <c r="L32" s="2">
        <v>7627</v>
      </c>
      <c r="M32" s="1"/>
      <c r="O32" s="4" t="str">
        <f ca="1">IFERROR(__xludf.DUMMYFUNCTION("TEXTJOIN("","", TRUE, FILTER($E$2:$E1000 &amp; $C$2:$C1000, $A$2:$A1000=A32, $B$2:$B1000=B32, $D$2:$D1000&lt;&gt;D32))"),"탑이진건,정글심재현,미드김응민,원딜정용운,서폿이세환")</f>
        <v>탑이진건,정글심재현,미드김응민,원딜정용운,서폿이세환</v>
      </c>
    </row>
    <row r="33" spans="1:15" ht="12.75" x14ac:dyDescent="0.2">
      <c r="A33" s="3">
        <v>46019</v>
      </c>
      <c r="B33" s="1">
        <v>1</v>
      </c>
      <c r="C33" s="1" t="s">
        <v>21</v>
      </c>
      <c r="D33" s="1" t="str">
        <f t="shared" si="0"/>
        <v>패</v>
      </c>
      <c r="E33" s="1" t="s">
        <v>33</v>
      </c>
      <c r="F33" s="1" t="s">
        <v>22</v>
      </c>
      <c r="G33" s="1" t="s">
        <v>67</v>
      </c>
      <c r="H33" s="1">
        <v>6</v>
      </c>
      <c r="I33" s="1">
        <v>7</v>
      </c>
      <c r="J33" s="1">
        <v>5</v>
      </c>
      <c r="K33" s="2">
        <v>17441</v>
      </c>
      <c r="L33" s="2">
        <v>9783</v>
      </c>
      <c r="M33" s="1"/>
      <c r="O33" s="4" t="str">
        <f ca="1">IFERROR(__xludf.DUMMYFUNCTION("TEXTJOIN("","", TRUE, FILTER($E$2:$E1000 &amp; $C$2:$C1000, $A$2:$A1000=A33, $B$2:$B1000=B33, $D$2:$D1000&lt;&gt;D33))"),"탑이진건,정글심재현,미드김응민,원딜정용운,서폿이세환")</f>
        <v>탑이진건,정글심재현,미드김응민,원딜정용운,서폿이세환</v>
      </c>
    </row>
    <row r="34" spans="1:15" ht="12.75" x14ac:dyDescent="0.2">
      <c r="A34" s="3">
        <v>46019</v>
      </c>
      <c r="B34" s="1">
        <v>1</v>
      </c>
      <c r="C34" s="1" t="s">
        <v>14</v>
      </c>
      <c r="D34" s="1" t="str">
        <f t="shared" si="0"/>
        <v>패</v>
      </c>
      <c r="E34" s="1" t="s">
        <v>33</v>
      </c>
      <c r="F34" s="1" t="s">
        <v>18</v>
      </c>
      <c r="G34" s="1" t="s">
        <v>17</v>
      </c>
      <c r="H34" s="1">
        <v>2</v>
      </c>
      <c r="I34" s="1">
        <v>8</v>
      </c>
      <c r="J34" s="1">
        <v>5</v>
      </c>
      <c r="K34" s="2">
        <v>11387</v>
      </c>
      <c r="L34" s="2">
        <v>8386</v>
      </c>
      <c r="M34" s="1"/>
      <c r="O34" s="4" t="str">
        <f ca="1">IFERROR(__xludf.DUMMYFUNCTION("TEXTJOIN("","", TRUE, FILTER($E$2:$E1000 &amp; $C$2:$C1000, $A$2:$A1000=A34, $B$2:$B1000=B34, $D$2:$D1000&lt;&gt;D34))"),"탑이진건,정글심재현,미드김응민,원딜정용운,서폿이세환")</f>
        <v>탑이진건,정글심재현,미드김응민,원딜정용운,서폿이세환</v>
      </c>
    </row>
    <row r="35" spans="1:15" ht="12.75" x14ac:dyDescent="0.2">
      <c r="A35" s="3">
        <v>46019</v>
      </c>
      <c r="B35" s="1">
        <v>1</v>
      </c>
      <c r="C35" s="1" t="s">
        <v>38</v>
      </c>
      <c r="D35" s="1" t="str">
        <f t="shared" si="0"/>
        <v>패</v>
      </c>
      <c r="E35" s="1" t="s">
        <v>33</v>
      </c>
      <c r="F35" s="1" t="s">
        <v>28</v>
      </c>
      <c r="G35" s="1" t="s">
        <v>64</v>
      </c>
      <c r="H35" s="1">
        <v>8</v>
      </c>
      <c r="I35" s="1">
        <v>8</v>
      </c>
      <c r="J35" s="1">
        <v>5</v>
      </c>
      <c r="K35" s="2">
        <v>19635</v>
      </c>
      <c r="L35" s="2">
        <v>9648</v>
      </c>
      <c r="M35" s="1"/>
      <c r="O35" s="4" t="str">
        <f ca="1">IFERROR(__xludf.DUMMYFUNCTION("TEXTJOIN("","", TRUE, FILTER($E$2:$E1000 &amp; $C$2:$C1000, $A$2:$A1000=A35, $B$2:$B1000=B35, $D$2:$D1000&lt;&gt;D35))"),"탑이진건,정글심재현,미드김응민,원딜정용운,서폿이세환")</f>
        <v>탑이진건,정글심재현,미드김응민,원딜정용운,서폿이세환</v>
      </c>
    </row>
    <row r="36" spans="1:15" ht="12.75" x14ac:dyDescent="0.2">
      <c r="A36" s="3">
        <v>46019</v>
      </c>
      <c r="B36" s="1">
        <v>1</v>
      </c>
      <c r="C36" s="1" t="s">
        <v>40</v>
      </c>
      <c r="D36" s="1" t="str">
        <f t="shared" si="0"/>
        <v>패</v>
      </c>
      <c r="E36" s="1" t="s">
        <v>33</v>
      </c>
      <c r="F36" s="1" t="s">
        <v>30</v>
      </c>
      <c r="G36" s="1" t="s">
        <v>41</v>
      </c>
      <c r="H36" s="1">
        <v>1</v>
      </c>
      <c r="I36" s="1">
        <v>7</v>
      </c>
      <c r="J36" s="1">
        <v>13</v>
      </c>
      <c r="K36" s="2">
        <v>13798</v>
      </c>
      <c r="L36" s="2">
        <v>6629</v>
      </c>
      <c r="M36" s="1"/>
      <c r="O36" s="4" t="str">
        <f ca="1">IFERROR(__xludf.DUMMYFUNCTION("TEXTJOIN("","", TRUE, FILTER($E$2:$E1000 &amp; $C$2:$C1000, $A$2:$A1000=A36, $B$2:$B1000=B36, $D$2:$D1000&lt;&gt;D36))"),"탑이진건,정글심재현,미드김응민,원딜정용운,서폿이세환")</f>
        <v>탑이진건,정글심재현,미드김응민,원딜정용운,서폿이세환</v>
      </c>
    </row>
    <row r="37" spans="1:15" ht="12.75" x14ac:dyDescent="0.2">
      <c r="A37" s="3">
        <v>46019</v>
      </c>
      <c r="B37" s="1">
        <v>1</v>
      </c>
      <c r="C37" s="1" t="s">
        <v>42</v>
      </c>
      <c r="D37" s="1" t="str">
        <f t="shared" si="0"/>
        <v>승</v>
      </c>
      <c r="E37" s="1" t="s">
        <v>15</v>
      </c>
      <c r="F37" s="1" t="s">
        <v>16</v>
      </c>
      <c r="G37" s="1" t="s">
        <v>23</v>
      </c>
      <c r="H37" s="1">
        <v>11</v>
      </c>
      <c r="I37" s="1">
        <v>2</v>
      </c>
      <c r="J37" s="1">
        <v>12</v>
      </c>
      <c r="K37" s="2">
        <v>27978</v>
      </c>
      <c r="L37" s="2">
        <v>10747</v>
      </c>
      <c r="M37" s="1"/>
      <c r="O37" s="4" t="str">
        <f ca="1">IFERROR(__xludf.DUMMYFUNCTION("TEXTJOIN("","", TRUE, FILTER($E$2:$E1000 &amp; $C$2:$C1000, $A$2:$A1000=A37, $B$2:$B1000=B37, $D$2:$D1000&lt;&gt;D37))"),"탑임성빈,정글지범진,미드박상호,원딜이창호,서폿김현수")</f>
        <v>탑임성빈,정글지범진,미드박상호,원딜이창호,서폿김현수</v>
      </c>
    </row>
    <row r="38" spans="1:15" ht="12.75" x14ac:dyDescent="0.2">
      <c r="A38" s="3">
        <v>46019</v>
      </c>
      <c r="B38" s="1">
        <v>1</v>
      </c>
      <c r="C38" s="1" t="s">
        <v>35</v>
      </c>
      <c r="D38" s="1" t="str">
        <f t="shared" si="0"/>
        <v>무승부</v>
      </c>
      <c r="E38" s="1" t="s">
        <v>15</v>
      </c>
      <c r="F38" s="1" t="s">
        <v>22</v>
      </c>
      <c r="G38" s="1" t="s">
        <v>68</v>
      </c>
      <c r="H38" s="1">
        <v>12</v>
      </c>
      <c r="I38" s="1">
        <v>4</v>
      </c>
      <c r="J38" s="1">
        <v>16</v>
      </c>
      <c r="K38" s="2">
        <v>27780</v>
      </c>
      <c r="L38" s="2">
        <v>13018</v>
      </c>
      <c r="M38" s="1"/>
      <c r="O38" s="4" t="str">
        <f ca="1">IFERROR(__xludf.DUMMYFUNCTION("TEXTJOIN("","", TRUE, FILTER($E$2:$E1000 &amp; $C$2:$C1000, $A$2:$A1000=A38, $B$2:$B1000=B38, $D$2:$D1000&lt;&gt;D38))"),"탑임성빈,정글지범진,미드박상호,원딜이창호,서폿김현수")</f>
        <v>탑임성빈,정글지범진,미드박상호,원딜이창호,서폿김현수</v>
      </c>
    </row>
    <row r="39" spans="1:15" ht="12.75" x14ac:dyDescent="0.2">
      <c r="A39" s="3">
        <v>46019</v>
      </c>
      <c r="B39" s="1">
        <v>1</v>
      </c>
      <c r="C39" s="1" t="s">
        <v>37</v>
      </c>
      <c r="D39" s="1" t="str">
        <f t="shared" si="0"/>
        <v>승</v>
      </c>
      <c r="E39" s="1" t="s">
        <v>15</v>
      </c>
      <c r="F39" s="1" t="s">
        <v>18</v>
      </c>
      <c r="G39" s="1" t="s">
        <v>24</v>
      </c>
      <c r="H39" s="1">
        <v>8</v>
      </c>
      <c r="I39" s="1">
        <v>4</v>
      </c>
      <c r="J39" s="1">
        <v>8</v>
      </c>
      <c r="K39" s="2">
        <v>18848</v>
      </c>
      <c r="L39" s="2">
        <v>12445</v>
      </c>
      <c r="M39" s="1"/>
      <c r="O39" s="4" t="str">
        <f ca="1">IFERROR(__xludf.DUMMYFUNCTION("TEXTJOIN("","", TRUE, FILTER($E$2:$E1000 &amp; $C$2:$C1000, $A$2:$A1000=A39, $B$2:$B1000=B39, $D$2:$D1000&lt;&gt;D39))"),"탑임성빈,정글지범진,미드박상호,원딜이창호,서폿김현수")</f>
        <v>탑임성빈,정글지범진,미드박상호,원딜이창호,서폿김현수</v>
      </c>
    </row>
    <row r="40" spans="1:15" ht="12.75" x14ac:dyDescent="0.2">
      <c r="A40" s="3">
        <v>46019</v>
      </c>
      <c r="B40" s="1">
        <v>1</v>
      </c>
      <c r="C40" s="1" t="s">
        <v>27</v>
      </c>
      <c r="D40" s="1" t="str">
        <f t="shared" si="0"/>
        <v>승</v>
      </c>
      <c r="E40" s="1" t="s">
        <v>15</v>
      </c>
      <c r="F40" s="1" t="s">
        <v>28</v>
      </c>
      <c r="G40" s="1" t="s">
        <v>69</v>
      </c>
      <c r="H40" s="1">
        <v>4</v>
      </c>
      <c r="I40" s="1">
        <v>5</v>
      </c>
      <c r="J40" s="1">
        <v>13</v>
      </c>
      <c r="K40" s="2">
        <v>15494</v>
      </c>
      <c r="L40" s="2">
        <v>9805</v>
      </c>
      <c r="M40" s="1"/>
      <c r="O40" s="4" t="str">
        <f ca="1">IFERROR(__xludf.DUMMYFUNCTION("TEXTJOIN("","", TRUE, FILTER($E$2:$E1000 &amp; $C$2:$C1000, $A$2:$A1000=A40, $B$2:$B1000=B40, $D$2:$D1000&lt;&gt;D40))"),"탑임성빈,정글지범진,미드박상호,원딜이창호,서폿김현수")</f>
        <v>탑임성빈,정글지범진,미드박상호,원딜이창호,서폿김현수</v>
      </c>
    </row>
    <row r="41" spans="1:15" ht="12.75" x14ac:dyDescent="0.2">
      <c r="A41" s="3">
        <v>46019</v>
      </c>
      <c r="B41" s="1">
        <v>1</v>
      </c>
      <c r="C41" s="1" t="s">
        <v>20</v>
      </c>
      <c r="D41" s="1" t="str">
        <f t="shared" si="0"/>
        <v>승</v>
      </c>
      <c r="E41" s="1" t="s">
        <v>15</v>
      </c>
      <c r="F41" s="1" t="s">
        <v>30</v>
      </c>
      <c r="G41" s="1" t="s">
        <v>70</v>
      </c>
      <c r="H41" s="1">
        <v>1</v>
      </c>
      <c r="I41" s="1">
        <v>6</v>
      </c>
      <c r="J41" s="1">
        <v>18</v>
      </c>
      <c r="K41" s="2">
        <v>9186</v>
      </c>
      <c r="L41" s="2">
        <v>6905</v>
      </c>
      <c r="M41" s="1"/>
      <c r="O41" s="4" t="str">
        <f ca="1">IFERROR(__xludf.DUMMYFUNCTION("TEXTJOIN("","", TRUE, FILTER($E$2:$E1000 &amp; $C$2:$C1000, $A$2:$A1000=A41, $B$2:$B1000=B41, $D$2:$D1000&lt;&gt;D41))"),"탑임성빈,정글지범진,미드박상호,원딜이창호,서폿김현수")</f>
        <v>탑임성빈,정글지범진,미드박상호,원딜이창호,서폿김현수</v>
      </c>
    </row>
    <row r="42" spans="1:15" ht="12.75" x14ac:dyDescent="0.2">
      <c r="A42" s="3">
        <v>46019</v>
      </c>
      <c r="B42" s="1">
        <v>2</v>
      </c>
      <c r="C42" s="1" t="s">
        <v>32</v>
      </c>
      <c r="D42" s="1" t="str">
        <f t="shared" si="0"/>
        <v/>
      </c>
      <c r="E42" s="1" t="s">
        <v>15</v>
      </c>
      <c r="F42" s="1" t="s">
        <v>16</v>
      </c>
      <c r="G42" s="1" t="s">
        <v>71</v>
      </c>
      <c r="H42" s="1">
        <v>5</v>
      </c>
      <c r="I42" s="1">
        <v>6</v>
      </c>
      <c r="J42" s="1">
        <v>12</v>
      </c>
      <c r="K42" s="2">
        <v>19946</v>
      </c>
      <c r="L42" s="2">
        <v>13327</v>
      </c>
      <c r="M42" s="1"/>
      <c r="O42" s="4" t="str">
        <f ca="1">IFERROR(__xludf.DUMMYFUNCTION("TEXTJOIN("","", TRUE, FILTER($E$2:$E1000 &amp; $C$2:$C1000, $A$2:$A1000=A42, $B$2:$B1000=B42, $D$2:$D1000&lt;&gt;D42))"),"탑이진건,정글심재현,미드김응민,원딜정용운,서폿이세환")</f>
        <v>탑이진건,정글심재현,미드김응민,원딜정용운,서폿이세환</v>
      </c>
    </row>
    <row r="43" spans="1:15" ht="12.75" x14ac:dyDescent="0.2">
      <c r="A43" s="3">
        <v>46019</v>
      </c>
      <c r="B43" s="1">
        <v>2</v>
      </c>
      <c r="C43" s="1" t="s">
        <v>21</v>
      </c>
      <c r="D43" s="1" t="str">
        <f t="shared" si="0"/>
        <v/>
      </c>
      <c r="E43" s="1" t="s">
        <v>15</v>
      </c>
      <c r="F43" s="1" t="s">
        <v>22</v>
      </c>
      <c r="G43" s="1" t="s">
        <v>34</v>
      </c>
      <c r="H43" s="1">
        <v>6</v>
      </c>
      <c r="I43" s="1">
        <v>0</v>
      </c>
      <c r="J43" s="1">
        <v>14</v>
      </c>
      <c r="K43" s="2">
        <v>13262</v>
      </c>
      <c r="L43" s="2">
        <v>15281</v>
      </c>
      <c r="M43" s="1"/>
      <c r="O43" s="4" t="str">
        <f ca="1">IFERROR(__xludf.DUMMYFUNCTION("TEXTJOIN("","", TRUE, FILTER($E$2:$E1000 &amp; $C$2:$C1000, $A$2:$A1000=A43, $B$2:$B1000=B43, $D$2:$D1000&lt;&gt;D43))"),"탑이진건,정글심재현,미드김응민,원딜정용운,서폿이세환")</f>
        <v>탑이진건,정글심재현,미드김응민,원딜정용운,서폿이세환</v>
      </c>
    </row>
    <row r="44" spans="1:15" ht="12.75" x14ac:dyDescent="0.2">
      <c r="A44" s="3">
        <v>46019</v>
      </c>
      <c r="B44" s="1">
        <v>2</v>
      </c>
      <c r="C44" s="1" t="s">
        <v>14</v>
      </c>
      <c r="D44" s="1" t="str">
        <f t="shared" si="0"/>
        <v/>
      </c>
      <c r="E44" s="1" t="s">
        <v>15</v>
      </c>
      <c r="F44" s="1" t="s">
        <v>18</v>
      </c>
      <c r="G44" s="1" t="s">
        <v>24</v>
      </c>
      <c r="H44" s="1">
        <v>7</v>
      </c>
      <c r="I44" s="1">
        <v>6</v>
      </c>
      <c r="J44" s="1">
        <v>11</v>
      </c>
      <c r="K44" s="2">
        <v>28337</v>
      </c>
      <c r="L44" s="2">
        <v>14035</v>
      </c>
      <c r="M44" s="1"/>
      <c r="O44" s="4" t="str">
        <f ca="1">IFERROR(__xludf.DUMMYFUNCTION("TEXTJOIN("","", TRUE, FILTER($E$2:$E1000 &amp; $C$2:$C1000, $A$2:$A1000=A44, $B$2:$B1000=B44, $D$2:$D1000&lt;&gt;D44))"),"탑이진건,정글심재현,미드김응민,원딜정용운,서폿이세환")</f>
        <v>탑이진건,정글심재현,미드김응민,원딜정용운,서폿이세환</v>
      </c>
    </row>
    <row r="45" spans="1:15" ht="12.75" x14ac:dyDescent="0.2">
      <c r="A45" s="3">
        <v>46019</v>
      </c>
      <c r="B45" s="1">
        <v>2</v>
      </c>
      <c r="C45" s="1" t="s">
        <v>38</v>
      </c>
      <c r="D45" s="1" t="str">
        <f t="shared" si="0"/>
        <v/>
      </c>
      <c r="E45" s="1" t="s">
        <v>15</v>
      </c>
      <c r="F45" s="1" t="s">
        <v>28</v>
      </c>
      <c r="G45" s="1" t="s">
        <v>55</v>
      </c>
      <c r="H45" s="1">
        <v>16</v>
      </c>
      <c r="I45" s="1">
        <v>5</v>
      </c>
      <c r="J45" s="1">
        <v>7</v>
      </c>
      <c r="K45" s="2">
        <v>35045</v>
      </c>
      <c r="L45" s="2">
        <v>21111</v>
      </c>
      <c r="M45" s="1"/>
      <c r="O45" s="4" t="str">
        <f ca="1">IFERROR(__xludf.DUMMYFUNCTION("TEXTJOIN("","", TRUE, FILTER($E$2:$E1000 &amp; $C$2:$C1000, $A$2:$A1000=A45, $B$2:$B1000=B45, $D$2:$D1000&lt;&gt;D45))"),"탑이진건,정글심재현,미드김응민,원딜정용운,서폿이세환")</f>
        <v>탑이진건,정글심재현,미드김응민,원딜정용운,서폿이세환</v>
      </c>
    </row>
    <row r="46" spans="1:15" ht="12.75" x14ac:dyDescent="0.2">
      <c r="A46" s="3">
        <v>46019</v>
      </c>
      <c r="B46" s="1">
        <v>2</v>
      </c>
      <c r="C46" s="1" t="s">
        <v>40</v>
      </c>
      <c r="D46" s="1" t="str">
        <f t="shared" si="0"/>
        <v/>
      </c>
      <c r="E46" s="1" t="s">
        <v>15</v>
      </c>
      <c r="F46" s="1" t="s">
        <v>30</v>
      </c>
      <c r="G46" s="1" t="s">
        <v>41</v>
      </c>
      <c r="H46" s="1">
        <v>6</v>
      </c>
      <c r="I46" s="1">
        <v>4</v>
      </c>
      <c r="J46" s="1">
        <v>26</v>
      </c>
      <c r="K46" s="2">
        <v>27279</v>
      </c>
      <c r="L46" s="2">
        <v>13482</v>
      </c>
      <c r="M46" s="1"/>
      <c r="O46" s="4" t="str">
        <f ca="1">IFERROR(__xludf.DUMMYFUNCTION("TEXTJOIN("","", TRUE, FILTER($E$2:$E1000 &amp; $C$2:$C1000, $A$2:$A1000=A46, $B$2:$B1000=B46, $D$2:$D1000&lt;&gt;D46))"),"탑이진건,정글심재현,미드김응민,원딜정용운,서폿이세환")</f>
        <v>탑이진건,정글심재현,미드김응민,원딜정용운,서폿이세환</v>
      </c>
    </row>
    <row r="47" spans="1:15" ht="12.75" x14ac:dyDescent="0.2">
      <c r="A47" s="3">
        <v>46019</v>
      </c>
      <c r="B47" s="1">
        <v>2</v>
      </c>
      <c r="C47" s="1" t="s">
        <v>42</v>
      </c>
      <c r="D47" s="1" t="str">
        <f t="shared" si="0"/>
        <v/>
      </c>
      <c r="E47" s="1" t="s">
        <v>33</v>
      </c>
      <c r="F47" s="1" t="s">
        <v>16</v>
      </c>
      <c r="G47" s="1" t="s">
        <v>72</v>
      </c>
      <c r="H47" s="1">
        <v>1</v>
      </c>
      <c r="I47" s="1">
        <v>11</v>
      </c>
      <c r="J47" s="1">
        <v>5</v>
      </c>
      <c r="K47" s="2">
        <v>20712</v>
      </c>
      <c r="L47" s="2">
        <v>10921</v>
      </c>
      <c r="M47" s="1"/>
      <c r="O47" s="4" t="str">
        <f ca="1">IFERROR(__xludf.DUMMYFUNCTION("TEXTJOIN("","", TRUE, FILTER($E$2:$E1000 &amp; $C$2:$C1000, $A$2:$A1000=A47, $B$2:$B1000=B47, $D$2:$D1000&lt;&gt;D47))"),"탑임성빈,정글지범진,미드박상호,원딜이창호,서폿김현수")</f>
        <v>탑임성빈,정글지범진,미드박상호,원딜이창호,서폿김현수</v>
      </c>
    </row>
    <row r="48" spans="1:15" ht="12.75" x14ac:dyDescent="0.2">
      <c r="A48" s="3">
        <v>46019</v>
      </c>
      <c r="B48" s="1">
        <v>2</v>
      </c>
      <c r="C48" s="1" t="s">
        <v>35</v>
      </c>
      <c r="D48" s="1" t="str">
        <f t="shared" si="0"/>
        <v/>
      </c>
      <c r="E48" s="1" t="s">
        <v>33</v>
      </c>
      <c r="F48" s="1" t="s">
        <v>22</v>
      </c>
      <c r="G48" s="1" t="s">
        <v>73</v>
      </c>
      <c r="H48" s="1">
        <v>4</v>
      </c>
      <c r="I48" s="1">
        <v>9</v>
      </c>
      <c r="J48" s="1">
        <v>5</v>
      </c>
      <c r="K48" s="2">
        <v>29256</v>
      </c>
      <c r="L48" s="2">
        <v>14235</v>
      </c>
      <c r="M48" s="1"/>
      <c r="O48" s="4" t="str">
        <f ca="1">IFERROR(__xludf.DUMMYFUNCTION("TEXTJOIN("","", TRUE, FILTER($E$2:$E1000 &amp; $C$2:$C1000, $A$2:$A1000=A48, $B$2:$B1000=B48, $D$2:$D1000&lt;&gt;D48))"),"탑임성빈,정글지범진,미드박상호,원딜이창호,서폿김현수")</f>
        <v>탑임성빈,정글지범진,미드박상호,원딜이창호,서폿김현수</v>
      </c>
    </row>
    <row r="49" spans="1:15" ht="12.75" x14ac:dyDescent="0.2">
      <c r="A49" s="3">
        <v>46019</v>
      </c>
      <c r="B49" s="1">
        <v>2</v>
      </c>
      <c r="C49" s="1" t="s">
        <v>37</v>
      </c>
      <c r="D49" s="1" t="str">
        <f t="shared" si="0"/>
        <v/>
      </c>
      <c r="E49" s="1" t="s">
        <v>33</v>
      </c>
      <c r="F49" s="1" t="s">
        <v>18</v>
      </c>
      <c r="G49" s="1" t="s">
        <v>63</v>
      </c>
      <c r="H49" s="1">
        <v>7</v>
      </c>
      <c r="I49" s="1">
        <v>5</v>
      </c>
      <c r="J49" s="1">
        <v>9</v>
      </c>
      <c r="K49" s="2">
        <v>42960</v>
      </c>
      <c r="L49" s="2">
        <v>15737</v>
      </c>
      <c r="M49" s="1"/>
      <c r="O49" s="4" t="str">
        <f ca="1">IFERROR(__xludf.DUMMYFUNCTION("TEXTJOIN("","", TRUE, FILTER($E$2:$E1000 &amp; $C$2:$C1000, $A$2:$A1000=A49, $B$2:$B1000=B49, $D$2:$D1000&lt;&gt;D49))"),"탑임성빈,정글지범진,미드박상호,원딜이창호,서폿김현수")</f>
        <v>탑임성빈,정글지범진,미드박상호,원딜이창호,서폿김현수</v>
      </c>
    </row>
    <row r="50" spans="1:15" ht="12.75" x14ac:dyDescent="0.2">
      <c r="A50" s="3">
        <v>46019</v>
      </c>
      <c r="B50" s="1">
        <v>2</v>
      </c>
      <c r="C50" s="1" t="s">
        <v>27</v>
      </c>
      <c r="D50" s="1" t="str">
        <f t="shared" si="0"/>
        <v/>
      </c>
      <c r="E50" s="1" t="s">
        <v>33</v>
      </c>
      <c r="F50" s="1" t="s">
        <v>28</v>
      </c>
      <c r="G50" s="1" t="s">
        <v>74</v>
      </c>
      <c r="H50" s="1">
        <v>7</v>
      </c>
      <c r="I50" s="1">
        <v>6</v>
      </c>
      <c r="J50" s="1">
        <v>4</v>
      </c>
      <c r="K50" s="2">
        <v>22307</v>
      </c>
      <c r="L50" s="2">
        <v>15149</v>
      </c>
      <c r="M50" s="1"/>
      <c r="O50" s="4" t="str">
        <f ca="1">IFERROR(__xludf.DUMMYFUNCTION("TEXTJOIN("","", TRUE, FILTER($E$2:$E1000 &amp; $C$2:$C1000, $A$2:$A1000=A50, $B$2:$B1000=B50, $D$2:$D1000&lt;&gt;D50))"),"탑임성빈,정글지범진,미드박상호,원딜이창호,서폿김현수")</f>
        <v>탑임성빈,정글지범진,미드박상호,원딜이창호,서폿김현수</v>
      </c>
    </row>
    <row r="51" spans="1:15" ht="12.75" x14ac:dyDescent="0.2">
      <c r="A51" s="3">
        <v>46019</v>
      </c>
      <c r="B51" s="1">
        <v>2</v>
      </c>
      <c r="C51" s="1" t="s">
        <v>20</v>
      </c>
      <c r="D51" s="1" t="str">
        <f t="shared" si="0"/>
        <v/>
      </c>
      <c r="E51" s="1" t="s">
        <v>33</v>
      </c>
      <c r="F51" s="1" t="s">
        <v>30</v>
      </c>
      <c r="G51" s="1" t="s">
        <v>75</v>
      </c>
      <c r="H51" s="1">
        <v>2</v>
      </c>
      <c r="I51" s="1">
        <v>9</v>
      </c>
      <c r="J51" s="1">
        <v>12</v>
      </c>
      <c r="K51" s="2">
        <v>5752</v>
      </c>
      <c r="L51" s="2">
        <v>9024</v>
      </c>
      <c r="M51" s="1"/>
      <c r="O51" s="4" t="str">
        <f ca="1">IFERROR(__xludf.DUMMYFUNCTION("TEXTJOIN("","", TRUE, FILTER($E$2:$E1000 &amp; $C$2:$C1000, $A$2:$A1000=A51, $B$2:$B1000=B51, $D$2:$D1000&lt;&gt;D51))"),"탑임성빈,정글지범진,미드박상호,원딜이창호,서폿김현수")</f>
        <v>탑임성빈,정글지범진,미드박상호,원딜이창호,서폿김현수</v>
      </c>
    </row>
    <row r="52" spans="1:15" ht="12.75" x14ac:dyDescent="0.2">
      <c r="A52" s="3">
        <v>46019</v>
      </c>
      <c r="B52" s="1">
        <v>3</v>
      </c>
      <c r="C52" s="1" t="s">
        <v>32</v>
      </c>
      <c r="D52" s="1" t="str">
        <f t="shared" si="0"/>
        <v/>
      </c>
      <c r="E52" s="1" t="s">
        <v>33</v>
      </c>
      <c r="F52" s="1" t="s">
        <v>16</v>
      </c>
      <c r="G52" s="1" t="s">
        <v>76</v>
      </c>
      <c r="H52" s="1">
        <v>1</v>
      </c>
      <c r="I52" s="1">
        <v>7</v>
      </c>
      <c r="J52" s="1">
        <v>3</v>
      </c>
      <c r="K52" s="6"/>
      <c r="L52" s="6"/>
      <c r="O52" s="4" t="str">
        <f ca="1">IFERROR(__xludf.DUMMYFUNCTION("TEXTJOIN("","", TRUE, FILTER($E$2:$E1000 &amp; $C$2:$C1000, $A$2:$A1000=A52, $B$2:$B1000=B52, $D$2:$D1000&lt;&gt;D52))"),"탑이진건,정글이석구,미드김응민,원딜정용운,서폿이세환")</f>
        <v>탑이진건,정글이석구,미드김응민,원딜정용운,서폿이세환</v>
      </c>
    </row>
    <row r="53" spans="1:15" ht="12.75" x14ac:dyDescent="0.2">
      <c r="A53" s="3">
        <v>46019</v>
      </c>
      <c r="B53" s="1">
        <v>3</v>
      </c>
      <c r="C53" s="1" t="s">
        <v>21</v>
      </c>
      <c r="D53" s="1" t="str">
        <f t="shared" si="0"/>
        <v/>
      </c>
      <c r="E53" s="1" t="s">
        <v>33</v>
      </c>
      <c r="F53" s="1" t="s">
        <v>22</v>
      </c>
      <c r="G53" s="1" t="s">
        <v>77</v>
      </c>
      <c r="H53" s="1">
        <v>4</v>
      </c>
      <c r="I53" s="1">
        <v>4</v>
      </c>
      <c r="J53" s="1">
        <v>6</v>
      </c>
      <c r="K53" s="6"/>
      <c r="L53" s="6"/>
      <c r="O53" s="4" t="str">
        <f ca="1">IFERROR(__xludf.DUMMYFUNCTION("TEXTJOIN("","", TRUE, FILTER($E$2:$E1000 &amp; $C$2:$C1000, $A$2:$A1000=A53, $B$2:$B1000=B53, $D$2:$D1000&lt;&gt;D53))"),"탑이진건,정글이석구,미드김응민,원딜정용운,서폿이세환")</f>
        <v>탑이진건,정글이석구,미드김응민,원딜정용운,서폿이세환</v>
      </c>
    </row>
    <row r="54" spans="1:15" ht="12.75" x14ac:dyDescent="0.2">
      <c r="A54" s="3">
        <v>46019</v>
      </c>
      <c r="B54" s="1">
        <v>3</v>
      </c>
      <c r="C54" s="1" t="s">
        <v>14</v>
      </c>
      <c r="D54" s="1" t="str">
        <f t="shared" si="0"/>
        <v/>
      </c>
      <c r="E54" s="1" t="s">
        <v>33</v>
      </c>
      <c r="F54" s="1" t="s">
        <v>18</v>
      </c>
      <c r="G54" s="1" t="s">
        <v>24</v>
      </c>
      <c r="H54" s="1">
        <v>7</v>
      </c>
      <c r="I54" s="1">
        <v>3</v>
      </c>
      <c r="J54" s="1">
        <v>2</v>
      </c>
      <c r="K54" s="6"/>
      <c r="L54" s="6"/>
      <c r="O54" s="4" t="str">
        <f ca="1">IFERROR(__xludf.DUMMYFUNCTION("TEXTJOIN("","", TRUE, FILTER($E$2:$E1000 &amp; $C$2:$C1000, $A$2:$A1000=A54, $B$2:$B1000=B54, $D$2:$D1000&lt;&gt;D54))"),"탑이진건,정글이석구,미드김응민,원딜정용운,서폿이세환")</f>
        <v>탑이진건,정글이석구,미드김응민,원딜정용운,서폿이세환</v>
      </c>
    </row>
    <row r="55" spans="1:15" ht="12.75" x14ac:dyDescent="0.2">
      <c r="A55" s="3">
        <v>46019</v>
      </c>
      <c r="B55" s="1">
        <v>3</v>
      </c>
      <c r="C55" s="1" t="s">
        <v>38</v>
      </c>
      <c r="D55" s="1" t="str">
        <f t="shared" si="0"/>
        <v/>
      </c>
      <c r="E55" s="1" t="s">
        <v>33</v>
      </c>
      <c r="F55" s="1" t="s">
        <v>28</v>
      </c>
      <c r="G55" s="1" t="s">
        <v>64</v>
      </c>
      <c r="H55" s="1">
        <v>4</v>
      </c>
      <c r="I55" s="1">
        <v>9</v>
      </c>
      <c r="J55" s="1">
        <v>9</v>
      </c>
      <c r="K55" s="6"/>
      <c r="L55" s="6"/>
      <c r="O55" s="4" t="str">
        <f ca="1">IFERROR(__xludf.DUMMYFUNCTION("TEXTJOIN("","", TRUE, FILTER($E$2:$E1000 &amp; $C$2:$C1000, $A$2:$A1000=A55, $B$2:$B1000=B55, $D$2:$D1000&lt;&gt;D55))"),"탑이진건,정글이석구,미드김응민,원딜정용운,서폿이세환")</f>
        <v>탑이진건,정글이석구,미드김응민,원딜정용운,서폿이세환</v>
      </c>
    </row>
    <row r="56" spans="1:15" ht="12.75" x14ac:dyDescent="0.2">
      <c r="A56" s="3">
        <v>46019</v>
      </c>
      <c r="B56" s="1">
        <v>3</v>
      </c>
      <c r="C56" s="1" t="s">
        <v>40</v>
      </c>
      <c r="D56" s="1" t="str">
        <f t="shared" si="0"/>
        <v/>
      </c>
      <c r="E56" s="1" t="s">
        <v>33</v>
      </c>
      <c r="F56" s="1" t="s">
        <v>30</v>
      </c>
      <c r="G56" s="1" t="s">
        <v>41</v>
      </c>
      <c r="H56" s="1">
        <v>3</v>
      </c>
      <c r="I56" s="1">
        <v>8</v>
      </c>
      <c r="J56" s="1">
        <v>11</v>
      </c>
      <c r="K56" s="6"/>
      <c r="L56" s="6"/>
      <c r="O56" s="4" t="str">
        <f ca="1">IFERROR(__xludf.DUMMYFUNCTION("TEXTJOIN("","", TRUE, FILTER($E$2:$E1000 &amp; $C$2:$C1000, $A$2:$A1000=A56, $B$2:$B1000=B56, $D$2:$D1000&lt;&gt;D56))"),"탑이진건,정글이석구,미드김응민,원딜정용운,서폿이세환")</f>
        <v>탑이진건,정글이석구,미드김응민,원딜정용운,서폿이세환</v>
      </c>
    </row>
    <row r="57" spans="1:15" ht="12.75" x14ac:dyDescent="0.2">
      <c r="A57" s="3">
        <v>46019</v>
      </c>
      <c r="B57" s="1">
        <v>3</v>
      </c>
      <c r="C57" s="1" t="s">
        <v>42</v>
      </c>
      <c r="D57" s="1" t="str">
        <f t="shared" si="0"/>
        <v/>
      </c>
      <c r="E57" s="1" t="s">
        <v>15</v>
      </c>
      <c r="F57" s="1" t="s">
        <v>16</v>
      </c>
      <c r="G57" s="1" t="s">
        <v>78</v>
      </c>
      <c r="H57" s="1">
        <v>7</v>
      </c>
      <c r="I57" s="1">
        <v>3</v>
      </c>
      <c r="J57" s="1">
        <v>5</v>
      </c>
      <c r="K57" s="6"/>
      <c r="L57" s="6"/>
      <c r="O57" s="4" t="str">
        <f ca="1">IFERROR(__xludf.DUMMYFUNCTION("TEXTJOIN("","", TRUE, FILTER($E$2:$E1000 &amp; $C$2:$C1000, $A$2:$A1000=A57, $B$2:$B1000=B57, $D$2:$D1000&lt;&gt;D57))"),"탑임성빈,정글지범진,미드박상호,원딜이창호,서폿김현수")</f>
        <v>탑임성빈,정글지범진,미드박상호,원딜이창호,서폿김현수</v>
      </c>
    </row>
    <row r="58" spans="1:15" ht="12.75" x14ac:dyDescent="0.2">
      <c r="A58" s="3">
        <v>46019</v>
      </c>
      <c r="B58" s="1">
        <v>3</v>
      </c>
      <c r="C58" s="1" t="s">
        <v>44</v>
      </c>
      <c r="D58" s="1" t="str">
        <f t="shared" si="0"/>
        <v/>
      </c>
      <c r="E58" s="1" t="s">
        <v>15</v>
      </c>
      <c r="F58" s="1" t="s">
        <v>22</v>
      </c>
      <c r="G58" s="1" t="s">
        <v>79</v>
      </c>
      <c r="H58" s="1">
        <v>7</v>
      </c>
      <c r="I58" s="1">
        <v>4</v>
      </c>
      <c r="J58" s="1">
        <v>10</v>
      </c>
      <c r="K58" s="6"/>
      <c r="L58" s="6"/>
      <c r="O58" s="4" t="str">
        <f ca="1">IFERROR(__xludf.DUMMYFUNCTION("TEXTJOIN("","", TRUE, FILTER($E$2:$E1000 &amp; $C$2:$C1000, $A$2:$A1000=A58, $B$2:$B1000=B58, $D$2:$D1000&lt;&gt;D58))"),"탑임성빈,정글지범진,미드박상호,원딜이창호,서폿김현수")</f>
        <v>탑임성빈,정글지범진,미드박상호,원딜이창호,서폿김현수</v>
      </c>
    </row>
    <row r="59" spans="1:15" ht="12.75" x14ac:dyDescent="0.2">
      <c r="A59" s="3">
        <v>46019</v>
      </c>
      <c r="B59" s="1">
        <v>3</v>
      </c>
      <c r="C59" s="1" t="s">
        <v>37</v>
      </c>
      <c r="D59" s="1" t="str">
        <f t="shared" si="0"/>
        <v/>
      </c>
      <c r="E59" s="1" t="s">
        <v>15</v>
      </c>
      <c r="F59" s="1" t="s">
        <v>18</v>
      </c>
      <c r="G59" s="1" t="s">
        <v>63</v>
      </c>
      <c r="H59" s="1">
        <v>7</v>
      </c>
      <c r="I59" s="1">
        <v>2</v>
      </c>
      <c r="J59" s="1">
        <v>7</v>
      </c>
      <c r="K59" s="6"/>
      <c r="L59" s="6"/>
      <c r="O59" s="4" t="str">
        <f ca="1">IFERROR(__xludf.DUMMYFUNCTION("TEXTJOIN("","", TRUE, FILTER($E$2:$E1000 &amp; $C$2:$C1000, $A$2:$A1000=A59, $B$2:$B1000=B59, $D$2:$D1000&lt;&gt;D59))"),"탑임성빈,정글지범진,미드박상호,원딜이창호,서폿김현수")</f>
        <v>탑임성빈,정글지범진,미드박상호,원딜이창호,서폿김현수</v>
      </c>
    </row>
    <row r="60" spans="1:15" ht="12.75" x14ac:dyDescent="0.2">
      <c r="A60" s="3">
        <v>46019</v>
      </c>
      <c r="B60" s="1">
        <v>3</v>
      </c>
      <c r="C60" s="1" t="s">
        <v>27</v>
      </c>
      <c r="D60" s="1" t="str">
        <f t="shared" si="0"/>
        <v/>
      </c>
      <c r="E60" s="1" t="s">
        <v>15</v>
      </c>
      <c r="F60" s="1" t="s">
        <v>28</v>
      </c>
      <c r="G60" s="1" t="s">
        <v>80</v>
      </c>
      <c r="H60" s="1">
        <v>8</v>
      </c>
      <c r="I60" s="1">
        <v>4</v>
      </c>
      <c r="J60" s="1">
        <v>9</v>
      </c>
      <c r="K60" s="6"/>
      <c r="L60" s="6"/>
      <c r="O60" s="4" t="str">
        <f ca="1">IFERROR(__xludf.DUMMYFUNCTION("TEXTJOIN("","", TRUE, FILTER($E$2:$E1000 &amp; $C$2:$C1000, $A$2:$A1000=A60, $B$2:$B1000=B60, $D$2:$D1000&lt;&gt;D60))"),"탑임성빈,정글지범진,미드박상호,원딜이창호,서폿김현수")</f>
        <v>탑임성빈,정글지범진,미드박상호,원딜이창호,서폿김현수</v>
      </c>
    </row>
    <row r="61" spans="1:15" ht="12.75" x14ac:dyDescent="0.2">
      <c r="A61" s="3">
        <v>46019</v>
      </c>
      <c r="B61" s="1">
        <v>3</v>
      </c>
      <c r="C61" s="1" t="s">
        <v>20</v>
      </c>
      <c r="D61" s="1" t="str">
        <f t="shared" si="0"/>
        <v/>
      </c>
      <c r="E61" s="1" t="s">
        <v>15</v>
      </c>
      <c r="F61" s="1" t="s">
        <v>30</v>
      </c>
      <c r="G61" s="1" t="s">
        <v>81</v>
      </c>
      <c r="H61" s="1">
        <v>2</v>
      </c>
      <c r="I61" s="1">
        <v>6</v>
      </c>
      <c r="J61" s="1">
        <v>14</v>
      </c>
      <c r="K61" s="6"/>
      <c r="L61" s="6"/>
      <c r="O61" s="4" t="str">
        <f ca="1">IFERROR(__xludf.DUMMYFUNCTION("TEXTJOIN("","", TRUE, FILTER($E$2:$E1000 &amp; $C$2:$C1000, $A$2:$A1000=A61, $B$2:$B1000=B61, $D$2:$D1000&lt;&gt;D61))"),"탑임성빈,정글지범진,미드박상호,원딜이창호,서폿김현수")</f>
        <v>탑임성빈,정글지범진,미드박상호,원딜이창호,서폿김현수</v>
      </c>
    </row>
    <row r="62" spans="1:15" ht="12.75" x14ac:dyDescent="0.2">
      <c r="A62" s="3">
        <v>46026</v>
      </c>
      <c r="B62" s="1">
        <v>1</v>
      </c>
      <c r="C62" s="1" t="s">
        <v>14</v>
      </c>
      <c r="D62" s="1" t="str">
        <f t="shared" si="0"/>
        <v>승</v>
      </c>
      <c r="E62" s="1" t="s">
        <v>15</v>
      </c>
      <c r="F62" s="1" t="s">
        <v>16</v>
      </c>
      <c r="G62" s="1" t="s">
        <v>17</v>
      </c>
      <c r="H62" s="1">
        <v>10</v>
      </c>
      <c r="I62" s="1">
        <v>4</v>
      </c>
      <c r="J62" s="1">
        <v>9</v>
      </c>
      <c r="K62" s="2">
        <v>57894</v>
      </c>
      <c r="L62" s="2">
        <v>17764</v>
      </c>
      <c r="O62" s="4" t="str">
        <f ca="1">IFERROR(__xludf.DUMMYFUNCTION("TEXTJOIN("","", TRUE, FILTER($E$2:$E1000 &amp; $C$2:$C1000, $A$2:$A1000=A62, $B$2:$B1000=B62, $D$2:$D1000&lt;&gt;D62))"),"탑허지녕,정글이석구,미드김응민,원딜이진건,서폿김현수")</f>
        <v>탑허지녕,정글이석구,미드김응민,원딜이진건,서폿김현수</v>
      </c>
    </row>
    <row r="63" spans="1:15" ht="12.75" x14ac:dyDescent="0.2">
      <c r="A63" s="3">
        <v>46026</v>
      </c>
      <c r="B63" s="1">
        <v>1</v>
      </c>
      <c r="C63" s="1" t="s">
        <v>21</v>
      </c>
      <c r="D63" s="1" t="str">
        <f t="shared" si="0"/>
        <v>승</v>
      </c>
      <c r="E63" s="1" t="s">
        <v>15</v>
      </c>
      <c r="F63" s="1" t="s">
        <v>22</v>
      </c>
      <c r="G63" s="1" t="s">
        <v>23</v>
      </c>
      <c r="H63" s="1">
        <v>7</v>
      </c>
      <c r="I63" s="1">
        <v>2</v>
      </c>
      <c r="J63" s="1">
        <v>14</v>
      </c>
      <c r="K63" s="2">
        <v>198862</v>
      </c>
      <c r="L63" s="2">
        <v>15980</v>
      </c>
      <c r="O63" s="4" t="str">
        <f ca="1">IFERROR(__xludf.DUMMYFUNCTION("TEXTJOIN("","", TRUE, FILTER($E$2:$E1000 &amp; $C$2:$C1000, $A$2:$A1000=A63, $B$2:$B1000=B63, $D$2:$D1000&lt;&gt;D63))"),"탑허지녕,정글이석구,미드김응민,원딜이진건,서폿김현수")</f>
        <v>탑허지녕,정글이석구,미드김응민,원딜이진건,서폿김현수</v>
      </c>
    </row>
    <row r="64" spans="1:15" ht="12.75" x14ac:dyDescent="0.2">
      <c r="A64" s="3">
        <v>46026</v>
      </c>
      <c r="B64" s="1">
        <v>1</v>
      </c>
      <c r="C64" s="1" t="s">
        <v>25</v>
      </c>
      <c r="D64" s="1" t="str">
        <f t="shared" si="0"/>
        <v>승</v>
      </c>
      <c r="E64" s="1" t="s">
        <v>15</v>
      </c>
      <c r="F64" s="1" t="s">
        <v>18</v>
      </c>
      <c r="G64" s="1" t="s">
        <v>26</v>
      </c>
      <c r="H64" s="1">
        <v>11</v>
      </c>
      <c r="I64" s="1">
        <v>4</v>
      </c>
      <c r="J64" s="1">
        <v>8</v>
      </c>
      <c r="K64" s="2">
        <v>35874</v>
      </c>
      <c r="L64" s="2">
        <v>16298</v>
      </c>
      <c r="O64" s="4" t="str">
        <f ca="1">IFERROR(__xludf.DUMMYFUNCTION("TEXTJOIN("","", TRUE, FILTER($E$2:$E1000 &amp; $C$2:$C1000, $A$2:$A1000=A64, $B$2:$B1000=B64, $D$2:$D1000&lt;&gt;D64))"),"탑허지녕,정글이석구,미드김응민,원딜이진건,서폿김현수")</f>
        <v>탑허지녕,정글이석구,미드김응민,원딜이진건,서폿김현수</v>
      </c>
    </row>
    <row r="65" spans="1:15" ht="12.75" x14ac:dyDescent="0.2">
      <c r="A65" s="3">
        <v>46026</v>
      </c>
      <c r="B65" s="1">
        <v>1</v>
      </c>
      <c r="C65" s="1" t="s">
        <v>27</v>
      </c>
      <c r="D65" s="1" t="str">
        <f t="shared" si="0"/>
        <v>승</v>
      </c>
      <c r="E65" s="1" t="s">
        <v>15</v>
      </c>
      <c r="F65" s="1" t="s">
        <v>28</v>
      </c>
      <c r="G65" s="1" t="s">
        <v>29</v>
      </c>
      <c r="H65" s="1">
        <v>4</v>
      </c>
      <c r="I65" s="1">
        <v>5</v>
      </c>
      <c r="J65" s="1">
        <v>7</v>
      </c>
      <c r="K65" s="2">
        <v>21835</v>
      </c>
      <c r="L65" s="2">
        <v>14510</v>
      </c>
      <c r="O65" s="4" t="str">
        <f ca="1">IFERROR(__xludf.DUMMYFUNCTION("TEXTJOIN("","", TRUE, FILTER($E$2:$E1000 &amp; $C$2:$C1000, $A$2:$A1000=A65, $B$2:$B1000=B65, $D$2:$D1000&lt;&gt;D65))"),"탑허지녕,정글이석구,미드김응민,원딜이진건,서폿김현수")</f>
        <v>탑허지녕,정글이석구,미드김응민,원딜이진건,서폿김현수</v>
      </c>
    </row>
    <row r="66" spans="1:15" ht="12.75" x14ac:dyDescent="0.2">
      <c r="A66" s="3">
        <v>46026</v>
      </c>
      <c r="B66" s="1">
        <v>1</v>
      </c>
      <c r="C66" s="1" t="s">
        <v>20</v>
      </c>
      <c r="D66" s="1" t="str">
        <f t="shared" si="0"/>
        <v>승</v>
      </c>
      <c r="E66" s="1" t="s">
        <v>15</v>
      </c>
      <c r="F66" s="1" t="s">
        <v>30</v>
      </c>
      <c r="G66" s="1" t="s">
        <v>31</v>
      </c>
      <c r="H66" s="1">
        <v>5</v>
      </c>
      <c r="I66" s="1">
        <v>7</v>
      </c>
      <c r="J66" s="1">
        <v>10</v>
      </c>
      <c r="K66" s="2">
        <v>11990</v>
      </c>
      <c r="L66" s="2">
        <v>11087</v>
      </c>
      <c r="O66" s="4" t="str">
        <f ca="1">IFERROR(__xludf.DUMMYFUNCTION("TEXTJOIN("","", TRUE, FILTER($E$2:$E1000 &amp; $C$2:$C1000, $A$2:$A1000=A66, $B$2:$B1000=B66, $D$2:$D1000&lt;&gt;D66))"),"탑허지녕,정글이석구,미드김응민,원딜이진건,서폿김현수")</f>
        <v>탑허지녕,정글이석구,미드김응민,원딜이진건,서폿김현수</v>
      </c>
    </row>
    <row r="67" spans="1:15" ht="12.75" x14ac:dyDescent="0.2">
      <c r="A67" s="3">
        <v>46026</v>
      </c>
      <c r="B67" s="1">
        <v>1</v>
      </c>
      <c r="C67" s="1" t="s">
        <v>32</v>
      </c>
      <c r="D67" s="1" t="str">
        <f t="shared" ref="D67:D130" si="1">IF(B67=1,IF(COUNTIFS(A:A,A67,C:C,C67,E:E,"승")&gt;COUNTIFS(A:A,A67,C:C,C67,E:E,"패"),"승",IF(COUNTIFS(A:A,A67,C:C,C67,E:E,"승")&lt;COUNTIFS(A:A,A67,C:C,C67,E:E,"패"),"패","무승부")),"")</f>
        <v>패</v>
      </c>
      <c r="E67" s="1" t="s">
        <v>33</v>
      </c>
      <c r="F67" s="1" t="s">
        <v>16</v>
      </c>
      <c r="G67" s="1" t="s">
        <v>34</v>
      </c>
      <c r="H67" s="1">
        <v>1</v>
      </c>
      <c r="I67" s="1">
        <v>6</v>
      </c>
      <c r="J67" s="1">
        <v>7</v>
      </c>
      <c r="K67" s="2">
        <v>19128</v>
      </c>
      <c r="L67" s="2">
        <v>11662</v>
      </c>
      <c r="O67" s="4" t="str">
        <f ca="1">IFERROR(__xludf.DUMMYFUNCTION("TEXTJOIN("","", TRUE, FILTER($E$2:$E1000 &amp; $C$2:$C1000, $A$2:$A1000=A67, $B$2:$B1000=B67, $D$2:$D1000&lt;&gt;D67))"),"탑임성빈,정글지범진,미드박상호,원딜정용운,서폿이세환")</f>
        <v>탑임성빈,정글지범진,미드박상호,원딜정용운,서폿이세환</v>
      </c>
    </row>
    <row r="68" spans="1:15" ht="12.75" x14ac:dyDescent="0.2">
      <c r="A68" s="3">
        <v>46026</v>
      </c>
      <c r="B68" s="1">
        <v>1</v>
      </c>
      <c r="C68" s="1" t="s">
        <v>35</v>
      </c>
      <c r="D68" s="1" t="str">
        <f t="shared" si="1"/>
        <v>패</v>
      </c>
      <c r="E68" s="1" t="s">
        <v>33</v>
      </c>
      <c r="F68" s="1" t="s">
        <v>22</v>
      </c>
      <c r="G68" s="1" t="s">
        <v>36</v>
      </c>
      <c r="H68" s="1">
        <v>6</v>
      </c>
      <c r="I68" s="1">
        <v>10</v>
      </c>
      <c r="J68" s="1">
        <v>8</v>
      </c>
      <c r="K68" s="2">
        <v>18549</v>
      </c>
      <c r="L68" s="2">
        <v>12315</v>
      </c>
      <c r="O68" s="4" t="str">
        <f ca="1">IFERROR(__xludf.DUMMYFUNCTION("TEXTJOIN("","", TRUE, FILTER($E$2:$E1000 &amp; $C$2:$C1000, $A$2:$A1000=A68, $B$2:$B1000=B68, $D$2:$D1000&lt;&gt;D68))"),"탑임성빈,정글지범진,미드박상호,원딜정용운,서폿이세환")</f>
        <v>탑임성빈,정글지범진,미드박상호,원딜정용운,서폿이세환</v>
      </c>
    </row>
    <row r="69" spans="1:15" ht="12.75" x14ac:dyDescent="0.2">
      <c r="A69" s="3">
        <v>46026</v>
      </c>
      <c r="B69" s="1">
        <v>1</v>
      </c>
      <c r="C69" s="1" t="s">
        <v>37</v>
      </c>
      <c r="D69" s="1" t="str">
        <f t="shared" si="1"/>
        <v>패</v>
      </c>
      <c r="E69" s="1" t="s">
        <v>33</v>
      </c>
      <c r="F69" s="1" t="s">
        <v>18</v>
      </c>
      <c r="G69" s="1" t="s">
        <v>24</v>
      </c>
      <c r="H69" s="1">
        <v>7</v>
      </c>
      <c r="I69" s="1">
        <v>7</v>
      </c>
      <c r="J69" s="1">
        <v>7</v>
      </c>
      <c r="K69" s="2">
        <v>19883</v>
      </c>
      <c r="L69" s="2">
        <v>13155</v>
      </c>
      <c r="O69" s="4" t="str">
        <f ca="1">IFERROR(__xludf.DUMMYFUNCTION("TEXTJOIN("","", TRUE, FILTER($E$2:$E1000 &amp; $C$2:$C1000, $A$2:$A1000=A69, $B$2:$B1000=B69, $D$2:$D1000&lt;&gt;D69))"),"탑임성빈,정글지범진,미드박상호,원딜정용운,서폿이세환")</f>
        <v>탑임성빈,정글지범진,미드박상호,원딜정용운,서폿이세환</v>
      </c>
    </row>
    <row r="70" spans="1:15" ht="12.75" x14ac:dyDescent="0.2">
      <c r="A70" s="3">
        <v>46026</v>
      </c>
      <c r="B70" s="1">
        <v>1</v>
      </c>
      <c r="C70" s="1" t="s">
        <v>38</v>
      </c>
      <c r="D70" s="1" t="str">
        <f t="shared" si="1"/>
        <v>패</v>
      </c>
      <c r="E70" s="1" t="s">
        <v>33</v>
      </c>
      <c r="F70" s="1" t="s">
        <v>28</v>
      </c>
      <c r="G70" s="1" t="s">
        <v>39</v>
      </c>
      <c r="H70" s="1">
        <v>5</v>
      </c>
      <c r="I70" s="1">
        <v>4</v>
      </c>
      <c r="J70" s="1">
        <v>10</v>
      </c>
      <c r="K70" s="2">
        <v>22767</v>
      </c>
      <c r="L70" s="2">
        <v>15075</v>
      </c>
      <c r="O70" s="4" t="str">
        <f ca="1">IFERROR(__xludf.DUMMYFUNCTION("TEXTJOIN("","", TRUE, FILTER($E$2:$E1000 &amp; $C$2:$C1000, $A$2:$A1000=A70, $B$2:$B1000=B70, $D$2:$D1000&lt;&gt;D70))"),"탑임성빈,정글지범진,미드박상호,원딜정용운,서폿이세환")</f>
        <v>탑임성빈,정글지범진,미드박상호,원딜정용운,서폿이세환</v>
      </c>
    </row>
    <row r="71" spans="1:15" ht="12.75" x14ac:dyDescent="0.2">
      <c r="A71" s="3">
        <v>46026</v>
      </c>
      <c r="B71" s="1">
        <v>1</v>
      </c>
      <c r="C71" s="1" t="s">
        <v>40</v>
      </c>
      <c r="D71" s="1" t="str">
        <f t="shared" si="1"/>
        <v>패</v>
      </c>
      <c r="E71" s="1" t="s">
        <v>33</v>
      </c>
      <c r="F71" s="1" t="s">
        <v>30</v>
      </c>
      <c r="G71" s="1" t="s">
        <v>41</v>
      </c>
      <c r="H71" s="1">
        <v>3</v>
      </c>
      <c r="I71" s="1">
        <v>10</v>
      </c>
      <c r="J71" s="1">
        <v>13</v>
      </c>
      <c r="K71" s="2">
        <v>13368</v>
      </c>
      <c r="L71" s="2">
        <v>9564</v>
      </c>
      <c r="O71" s="4" t="str">
        <f ca="1">IFERROR(__xludf.DUMMYFUNCTION("TEXTJOIN("","", TRUE, FILTER($E$2:$E1000 &amp; $C$2:$C1000, $A$2:$A1000=A71, $B$2:$B1000=B71, $D$2:$D1000&lt;&gt;D71))"),"탑임성빈,정글지범진,미드박상호,원딜정용운,서폿이세환")</f>
        <v>탑임성빈,정글지범진,미드박상호,원딜정용운,서폿이세환</v>
      </c>
    </row>
    <row r="72" spans="1:15" ht="12.75" x14ac:dyDescent="0.2">
      <c r="A72" s="3">
        <v>46026</v>
      </c>
      <c r="B72" s="1">
        <v>2</v>
      </c>
      <c r="C72" s="1" t="s">
        <v>25</v>
      </c>
      <c r="D72" s="1" t="str">
        <f t="shared" si="1"/>
        <v/>
      </c>
      <c r="E72" s="1" t="s">
        <v>33</v>
      </c>
      <c r="F72" s="1" t="s">
        <v>16</v>
      </c>
      <c r="G72" s="1" t="s">
        <v>26</v>
      </c>
      <c r="H72" s="1">
        <v>7</v>
      </c>
      <c r="I72" s="1">
        <v>2</v>
      </c>
      <c r="J72" s="1">
        <v>2</v>
      </c>
      <c r="K72" s="2">
        <v>18870</v>
      </c>
      <c r="L72" s="2">
        <v>12082</v>
      </c>
      <c r="O72" s="4" t="str">
        <f ca="1">IFERROR(__xludf.DUMMYFUNCTION("TEXTJOIN("","", TRUE, FILTER($E$2:$E1000 &amp; $C$2:$C1000, $A$2:$A1000=A72, $B$2:$B1000=B72, $D$2:$D1000&lt;&gt;D72))"),"탑허지녕,정글이석구,미드박상호,원딜이진건,서폿김현수")</f>
        <v>탑허지녕,정글이석구,미드박상호,원딜이진건,서폿김현수</v>
      </c>
    </row>
    <row r="73" spans="1:15" ht="12.75" x14ac:dyDescent="0.2">
      <c r="A73" s="3">
        <v>46026</v>
      </c>
      <c r="B73" s="1">
        <v>2</v>
      </c>
      <c r="C73" s="1" t="s">
        <v>21</v>
      </c>
      <c r="D73" s="1" t="str">
        <f t="shared" si="1"/>
        <v/>
      </c>
      <c r="E73" s="1" t="s">
        <v>33</v>
      </c>
      <c r="F73" s="1" t="s">
        <v>22</v>
      </c>
      <c r="G73" s="1" t="s">
        <v>43</v>
      </c>
      <c r="H73" s="1">
        <v>6</v>
      </c>
      <c r="I73" s="1">
        <v>11</v>
      </c>
      <c r="J73" s="1">
        <v>3</v>
      </c>
      <c r="K73" s="2">
        <v>13939</v>
      </c>
      <c r="L73" s="2">
        <v>9673</v>
      </c>
      <c r="O73" s="4" t="str">
        <f ca="1">IFERROR(__xludf.DUMMYFUNCTION("TEXTJOIN("","", TRUE, FILTER($E$2:$E1000 &amp; $C$2:$C1000, $A$2:$A1000=A73, $B$2:$B1000=B73, $D$2:$D1000&lt;&gt;D73))"),"탑허지녕,정글이석구,미드박상호,원딜이진건,서폿김현수")</f>
        <v>탑허지녕,정글이석구,미드박상호,원딜이진건,서폿김현수</v>
      </c>
    </row>
    <row r="74" spans="1:15" ht="12.75" x14ac:dyDescent="0.2">
      <c r="A74" s="3">
        <v>46026</v>
      </c>
      <c r="B74" s="1">
        <v>2</v>
      </c>
      <c r="C74" s="1" t="s">
        <v>14</v>
      </c>
      <c r="D74" s="1" t="str">
        <f t="shared" si="1"/>
        <v/>
      </c>
      <c r="E74" s="1" t="s">
        <v>33</v>
      </c>
      <c r="F74" s="1" t="s">
        <v>18</v>
      </c>
      <c r="G74" s="1" t="s">
        <v>17</v>
      </c>
      <c r="H74" s="1">
        <v>1</v>
      </c>
      <c r="I74" s="1">
        <v>8</v>
      </c>
      <c r="J74" s="1">
        <v>6</v>
      </c>
      <c r="K74" s="2">
        <v>15807</v>
      </c>
      <c r="L74" s="2">
        <v>9011</v>
      </c>
      <c r="O74" s="4" t="str">
        <f ca="1">IFERROR(__xludf.DUMMYFUNCTION("TEXTJOIN("","", TRUE, FILTER($E$2:$E1000 &amp; $C$2:$C1000, $A$2:$A1000=A74, $B$2:$B1000=B74, $D$2:$D1000&lt;&gt;D74))"),"탑허지녕,정글이석구,미드박상호,원딜이진건,서폿김현수")</f>
        <v>탑허지녕,정글이석구,미드박상호,원딜이진건,서폿김현수</v>
      </c>
    </row>
    <row r="75" spans="1:15" ht="12.75" x14ac:dyDescent="0.2">
      <c r="A75" s="3">
        <v>46026</v>
      </c>
      <c r="B75" s="1">
        <v>2</v>
      </c>
      <c r="C75" s="1" t="s">
        <v>27</v>
      </c>
      <c r="D75" s="1" t="str">
        <f t="shared" si="1"/>
        <v/>
      </c>
      <c r="E75" s="1" t="s">
        <v>33</v>
      </c>
      <c r="F75" s="1" t="s">
        <v>28</v>
      </c>
      <c r="G75" s="1" t="s">
        <v>46</v>
      </c>
      <c r="H75" s="1">
        <v>2</v>
      </c>
      <c r="I75" s="1">
        <v>4</v>
      </c>
      <c r="J75" s="1">
        <v>6</v>
      </c>
      <c r="K75" s="2">
        <v>17542</v>
      </c>
      <c r="L75" s="2">
        <v>9678</v>
      </c>
      <c r="O75" s="4" t="str">
        <f ca="1">IFERROR(__xludf.DUMMYFUNCTION("TEXTJOIN("","", TRUE, FILTER($E$2:$E1000 &amp; $C$2:$C1000, $A$2:$A1000=A75, $B$2:$B1000=B75, $D$2:$D1000&lt;&gt;D75))"),"탑허지녕,정글이석구,미드박상호,원딜이진건,서폿김현수")</f>
        <v>탑허지녕,정글이석구,미드박상호,원딜이진건,서폿김현수</v>
      </c>
    </row>
    <row r="76" spans="1:15" ht="12.75" x14ac:dyDescent="0.2">
      <c r="A76" s="3">
        <v>46026</v>
      </c>
      <c r="B76" s="1">
        <v>2</v>
      </c>
      <c r="C76" s="1" t="s">
        <v>20</v>
      </c>
      <c r="D76" s="1" t="str">
        <f t="shared" si="1"/>
        <v/>
      </c>
      <c r="E76" s="1" t="s">
        <v>33</v>
      </c>
      <c r="F76" s="1" t="s">
        <v>30</v>
      </c>
      <c r="G76" s="1" t="s">
        <v>48</v>
      </c>
      <c r="H76" s="1">
        <v>2</v>
      </c>
      <c r="I76" s="1">
        <v>9</v>
      </c>
      <c r="J76" s="1">
        <v>8</v>
      </c>
      <c r="K76" s="2">
        <v>18437</v>
      </c>
      <c r="L76" s="2">
        <v>7401</v>
      </c>
      <c r="O76" s="4" t="str">
        <f ca="1">IFERROR(__xludf.DUMMYFUNCTION("TEXTJOIN("","", TRUE, FILTER($E$2:$E1000 &amp; $C$2:$C1000, $A$2:$A1000=A76, $B$2:$B1000=B76, $D$2:$D1000&lt;&gt;D76))"),"탑허지녕,정글이석구,미드박상호,원딜이진건,서폿김현수")</f>
        <v>탑허지녕,정글이석구,미드박상호,원딜이진건,서폿김현수</v>
      </c>
    </row>
    <row r="77" spans="1:15" ht="12.75" x14ac:dyDescent="0.2">
      <c r="A77" s="3">
        <v>46026</v>
      </c>
      <c r="B77" s="1">
        <v>2</v>
      </c>
      <c r="C77" s="1" t="s">
        <v>32</v>
      </c>
      <c r="D77" s="1" t="str">
        <f t="shared" si="1"/>
        <v/>
      </c>
      <c r="E77" s="1" t="s">
        <v>15</v>
      </c>
      <c r="F77" s="1" t="s">
        <v>16</v>
      </c>
      <c r="G77" s="1" t="s">
        <v>50</v>
      </c>
      <c r="H77" s="1">
        <v>2</v>
      </c>
      <c r="I77" s="1">
        <v>3</v>
      </c>
      <c r="J77" s="1">
        <v>13</v>
      </c>
      <c r="K77" s="2">
        <v>14617</v>
      </c>
      <c r="L77" s="2">
        <v>9258</v>
      </c>
      <c r="O77" s="4" t="str">
        <f ca="1">IFERROR(__xludf.DUMMYFUNCTION("TEXTJOIN("","", TRUE, FILTER($E$2:$E1000 &amp; $C$2:$C1000, $A$2:$A1000=A77, $B$2:$B1000=B77, $D$2:$D1000&lt;&gt;D77))"),"탑임성빈,정글지범진,미드김응민,원딜정용운,서폿이세환")</f>
        <v>탑임성빈,정글지범진,미드김응민,원딜정용운,서폿이세환</v>
      </c>
    </row>
    <row r="78" spans="1:15" ht="12.75" x14ac:dyDescent="0.2">
      <c r="A78" s="3">
        <v>46026</v>
      </c>
      <c r="B78" s="1">
        <v>2</v>
      </c>
      <c r="C78" s="1" t="s">
        <v>35</v>
      </c>
      <c r="D78" s="1" t="str">
        <f t="shared" si="1"/>
        <v/>
      </c>
      <c r="E78" s="1" t="s">
        <v>15</v>
      </c>
      <c r="F78" s="1" t="s">
        <v>22</v>
      </c>
      <c r="G78" s="1" t="s">
        <v>52</v>
      </c>
      <c r="H78" s="1">
        <v>4</v>
      </c>
      <c r="I78" s="1">
        <v>8</v>
      </c>
      <c r="J78" s="1">
        <v>17</v>
      </c>
      <c r="K78" s="2">
        <v>25760</v>
      </c>
      <c r="L78" s="2">
        <v>11268</v>
      </c>
      <c r="O78" s="4" t="str">
        <f ca="1">IFERROR(__xludf.DUMMYFUNCTION("TEXTJOIN("","", TRUE, FILTER($E$2:$E1000 &amp; $C$2:$C1000, $A$2:$A1000=A78, $B$2:$B1000=B78, $D$2:$D1000&lt;&gt;D78))"),"탑임성빈,정글지범진,미드김응민,원딜정용운,서폿이세환")</f>
        <v>탑임성빈,정글지범진,미드김응민,원딜정용운,서폿이세환</v>
      </c>
    </row>
    <row r="79" spans="1:15" ht="12.75" x14ac:dyDescent="0.2">
      <c r="A79" s="3">
        <v>46026</v>
      </c>
      <c r="B79" s="1">
        <v>2</v>
      </c>
      <c r="C79" s="1" t="s">
        <v>37</v>
      </c>
      <c r="D79" s="1" t="str">
        <f t="shared" si="1"/>
        <v/>
      </c>
      <c r="E79" s="1" t="s">
        <v>15</v>
      </c>
      <c r="F79" s="1" t="s">
        <v>18</v>
      </c>
      <c r="G79" s="1" t="s">
        <v>24</v>
      </c>
      <c r="H79" s="1">
        <v>8</v>
      </c>
      <c r="I79" s="1">
        <v>3</v>
      </c>
      <c r="J79" s="1">
        <v>10</v>
      </c>
      <c r="K79" s="2">
        <v>18998</v>
      </c>
      <c r="L79" s="2">
        <v>12263</v>
      </c>
      <c r="O79" s="4" t="str">
        <f ca="1">IFERROR(__xludf.DUMMYFUNCTION("TEXTJOIN("","", TRUE, FILTER($E$2:$E1000 &amp; $C$2:$C1000, $A$2:$A1000=A79, $B$2:$B1000=B79, $D$2:$D1000&lt;&gt;D79))"),"탑임성빈,정글지범진,미드김응민,원딜정용운,서폿이세환")</f>
        <v>탑임성빈,정글지범진,미드김응민,원딜정용운,서폿이세환</v>
      </c>
    </row>
    <row r="80" spans="1:15" ht="12.75" x14ac:dyDescent="0.2">
      <c r="A80" s="3">
        <v>46026</v>
      </c>
      <c r="B80" s="1">
        <v>2</v>
      </c>
      <c r="C80" s="1" t="s">
        <v>38</v>
      </c>
      <c r="D80" s="1" t="str">
        <f t="shared" si="1"/>
        <v/>
      </c>
      <c r="E80" s="1" t="s">
        <v>15</v>
      </c>
      <c r="F80" s="1" t="s">
        <v>28</v>
      </c>
      <c r="G80" s="1" t="s">
        <v>55</v>
      </c>
      <c r="H80" s="1">
        <v>19</v>
      </c>
      <c r="I80" s="1">
        <v>2</v>
      </c>
      <c r="J80" s="1">
        <v>6</v>
      </c>
      <c r="K80" s="2">
        <v>32914</v>
      </c>
      <c r="L80" s="2">
        <v>16811</v>
      </c>
      <c r="O80" s="4" t="str">
        <f ca="1">IFERROR(__xludf.DUMMYFUNCTION("TEXTJOIN("","", TRUE, FILTER($E$2:$E1000 &amp; $C$2:$C1000, $A$2:$A1000=A80, $B$2:$B1000=B80, $D$2:$D1000&lt;&gt;D80))"),"탑임성빈,정글지범진,미드김응민,원딜정용운,서폿이세환")</f>
        <v>탑임성빈,정글지범진,미드김응민,원딜정용운,서폿이세환</v>
      </c>
    </row>
    <row r="81" spans="1:15" ht="12.75" x14ac:dyDescent="0.2">
      <c r="A81" s="3">
        <v>46026</v>
      </c>
      <c r="B81" s="1">
        <v>2</v>
      </c>
      <c r="C81" s="1" t="s">
        <v>40</v>
      </c>
      <c r="D81" s="1" t="str">
        <f t="shared" si="1"/>
        <v/>
      </c>
      <c r="E81" s="1" t="s">
        <v>15</v>
      </c>
      <c r="F81" s="1" t="s">
        <v>30</v>
      </c>
      <c r="G81" s="1" t="s">
        <v>57</v>
      </c>
      <c r="H81" s="1">
        <v>1</v>
      </c>
      <c r="I81" s="1">
        <v>2</v>
      </c>
      <c r="J81" s="1">
        <v>26</v>
      </c>
      <c r="K81" s="2">
        <v>10730</v>
      </c>
      <c r="L81" s="2">
        <v>8203</v>
      </c>
      <c r="O81" s="4" t="str">
        <f ca="1">IFERROR(__xludf.DUMMYFUNCTION("TEXTJOIN("","", TRUE, FILTER($E$2:$E1000 &amp; $C$2:$C1000, $A$2:$A1000=A81, $B$2:$B1000=B81, $D$2:$D1000&lt;&gt;D81))"),"탑임성빈,정글지범진,미드김응민,원딜정용운,서폿이세환")</f>
        <v>탑임성빈,정글지범진,미드김응민,원딜정용운,서폿이세환</v>
      </c>
    </row>
    <row r="82" spans="1:15" ht="12.75" x14ac:dyDescent="0.2">
      <c r="A82" s="3">
        <v>46026</v>
      </c>
      <c r="B82" s="1">
        <v>3</v>
      </c>
      <c r="C82" s="1" t="s">
        <v>25</v>
      </c>
      <c r="D82" s="1" t="str">
        <f t="shared" si="1"/>
        <v/>
      </c>
      <c r="E82" s="1" t="s">
        <v>15</v>
      </c>
      <c r="F82" s="1" t="s">
        <v>16</v>
      </c>
      <c r="G82" s="1" t="s">
        <v>26</v>
      </c>
      <c r="H82" s="1">
        <v>6</v>
      </c>
      <c r="I82" s="1">
        <v>3</v>
      </c>
      <c r="J82" s="1">
        <v>8</v>
      </c>
      <c r="K82" s="2">
        <v>29156</v>
      </c>
      <c r="L82" s="2">
        <v>11691</v>
      </c>
      <c r="O82" s="4" t="str">
        <f ca="1">IFERROR(__xludf.DUMMYFUNCTION("TEXTJOIN("","", TRUE, FILTER($E$2:$E1000 &amp; $C$2:$C1000, $A$2:$A1000=A82, $B$2:$B1000=B82, $D$2:$D1000&lt;&gt;D82))"),"탑허지녕,정글이석구,미드박상호,원딜이진건,서폿김현수")</f>
        <v>탑허지녕,정글이석구,미드박상호,원딜이진건,서폿김현수</v>
      </c>
    </row>
    <row r="83" spans="1:15" ht="12.75" x14ac:dyDescent="0.2">
      <c r="A83" s="3">
        <v>46026</v>
      </c>
      <c r="B83" s="1">
        <v>3</v>
      </c>
      <c r="C83" s="1" t="s">
        <v>21</v>
      </c>
      <c r="D83" s="1" t="str">
        <f t="shared" si="1"/>
        <v/>
      </c>
      <c r="E83" s="1" t="s">
        <v>15</v>
      </c>
      <c r="F83" s="1" t="s">
        <v>22</v>
      </c>
      <c r="G83" s="1" t="s">
        <v>43</v>
      </c>
      <c r="H83" s="1">
        <v>7</v>
      </c>
      <c r="I83" s="1">
        <v>2</v>
      </c>
      <c r="J83" s="1">
        <v>14</v>
      </c>
      <c r="K83" s="2">
        <v>15372</v>
      </c>
      <c r="L83" s="2">
        <v>12365</v>
      </c>
      <c r="O83" s="4" t="str">
        <f ca="1">IFERROR(__xludf.DUMMYFUNCTION("TEXTJOIN("","", TRUE, FILTER($E$2:$E1000 &amp; $C$2:$C1000, $A$2:$A1000=A83, $B$2:$B1000=B83, $D$2:$D1000&lt;&gt;D83))"),"탑허지녕,정글이석구,미드박상호,원딜이진건,서폿김현수")</f>
        <v>탑허지녕,정글이석구,미드박상호,원딜이진건,서폿김현수</v>
      </c>
    </row>
    <row r="84" spans="1:15" ht="12.75" x14ac:dyDescent="0.2">
      <c r="A84" s="3">
        <v>46026</v>
      </c>
      <c r="B84" s="1">
        <v>3</v>
      </c>
      <c r="C84" s="1" t="s">
        <v>14</v>
      </c>
      <c r="D84" s="1" t="str">
        <f t="shared" si="1"/>
        <v/>
      </c>
      <c r="E84" s="1" t="s">
        <v>15</v>
      </c>
      <c r="F84" s="1" t="s">
        <v>18</v>
      </c>
      <c r="G84" s="1" t="s">
        <v>17</v>
      </c>
      <c r="H84" s="1">
        <v>5</v>
      </c>
      <c r="I84" s="1">
        <v>1</v>
      </c>
      <c r="J84" s="1">
        <v>4</v>
      </c>
      <c r="K84" s="2">
        <v>20452</v>
      </c>
      <c r="L84" s="2">
        <v>14703</v>
      </c>
      <c r="O84" s="4" t="str">
        <f ca="1">IFERROR(__xludf.DUMMYFUNCTION("TEXTJOIN("","", TRUE, FILTER($E$2:$E1000 &amp; $C$2:$C1000, $A$2:$A1000=A84, $B$2:$B1000=B84, $D$2:$D1000&lt;&gt;D84))"),"탑허지녕,정글이석구,미드박상호,원딜이진건,서폿김현수")</f>
        <v>탑허지녕,정글이석구,미드박상호,원딜이진건,서폿김현수</v>
      </c>
    </row>
    <row r="85" spans="1:15" ht="12.75" x14ac:dyDescent="0.2">
      <c r="A85" s="3">
        <v>46026</v>
      </c>
      <c r="B85" s="1">
        <v>3</v>
      </c>
      <c r="C85" s="1" t="s">
        <v>27</v>
      </c>
      <c r="D85" s="1" t="str">
        <f t="shared" si="1"/>
        <v/>
      </c>
      <c r="E85" s="1" t="s">
        <v>15</v>
      </c>
      <c r="F85" s="1" t="s">
        <v>28</v>
      </c>
      <c r="G85" s="1" t="s">
        <v>59</v>
      </c>
      <c r="H85" s="1">
        <v>12</v>
      </c>
      <c r="I85" s="1">
        <v>3</v>
      </c>
      <c r="J85" s="1">
        <v>6</v>
      </c>
      <c r="K85" s="2">
        <v>24440</v>
      </c>
      <c r="L85" s="2">
        <v>14670</v>
      </c>
      <c r="O85" s="4" t="str">
        <f ca="1">IFERROR(__xludf.DUMMYFUNCTION("TEXTJOIN("","", TRUE, FILTER($E$2:$E1000 &amp; $C$2:$C1000, $A$2:$A1000=A85, $B$2:$B1000=B85, $D$2:$D1000&lt;&gt;D85))"),"탑허지녕,정글이석구,미드박상호,원딜이진건,서폿김현수")</f>
        <v>탑허지녕,정글이석구,미드박상호,원딜이진건,서폿김현수</v>
      </c>
    </row>
    <row r="86" spans="1:15" ht="12.75" x14ac:dyDescent="0.2">
      <c r="A86" s="3">
        <v>46026</v>
      </c>
      <c r="B86" s="1">
        <v>3</v>
      </c>
      <c r="C86" s="1" t="s">
        <v>20</v>
      </c>
      <c r="D86" s="1" t="str">
        <f t="shared" si="1"/>
        <v/>
      </c>
      <c r="E86" s="1" t="s">
        <v>15</v>
      </c>
      <c r="F86" s="1" t="s">
        <v>30</v>
      </c>
      <c r="G86" s="1" t="s">
        <v>60</v>
      </c>
      <c r="H86" s="1">
        <v>1</v>
      </c>
      <c r="I86" s="1">
        <v>4</v>
      </c>
      <c r="J86" s="1">
        <v>16</v>
      </c>
      <c r="K86" s="2">
        <v>16943</v>
      </c>
      <c r="L86" s="2">
        <v>8224</v>
      </c>
      <c r="O86" s="4" t="str">
        <f ca="1">IFERROR(__xludf.DUMMYFUNCTION("TEXTJOIN("","", TRUE, FILTER($E$2:$E1000 &amp; $C$2:$C1000, $A$2:$A1000=A86, $B$2:$B1000=B86, $D$2:$D1000&lt;&gt;D86))"),"탑허지녕,정글이석구,미드박상호,원딜이진건,서폿김현수")</f>
        <v>탑허지녕,정글이석구,미드박상호,원딜이진건,서폿김현수</v>
      </c>
    </row>
    <row r="87" spans="1:15" ht="12.75" x14ac:dyDescent="0.2">
      <c r="A87" s="3">
        <v>46026</v>
      </c>
      <c r="B87" s="1">
        <v>3</v>
      </c>
      <c r="C87" s="1" t="s">
        <v>32</v>
      </c>
      <c r="D87" s="1" t="str">
        <f t="shared" si="1"/>
        <v/>
      </c>
      <c r="E87" s="1" t="s">
        <v>33</v>
      </c>
      <c r="F87" s="1" t="s">
        <v>16</v>
      </c>
      <c r="G87" s="1" t="s">
        <v>61</v>
      </c>
      <c r="H87" s="1">
        <v>2</v>
      </c>
      <c r="I87" s="1">
        <v>6</v>
      </c>
      <c r="J87" s="1">
        <v>3</v>
      </c>
      <c r="K87" s="2">
        <v>11878</v>
      </c>
      <c r="L87" s="2">
        <v>10311</v>
      </c>
      <c r="O87" s="4" t="str">
        <f ca="1">IFERROR(__xludf.DUMMYFUNCTION("TEXTJOIN("","", TRUE, FILTER($E$2:$E1000 &amp; $C$2:$C1000, $A$2:$A1000=A87, $B$2:$B1000=B87, $D$2:$D1000&lt;&gt;D87))"),"탑임성빈,정글지범진,미드김응민,원딜정용운,서폿이세환")</f>
        <v>탑임성빈,정글지범진,미드김응민,원딜정용운,서폿이세환</v>
      </c>
    </row>
    <row r="88" spans="1:15" ht="12.75" x14ac:dyDescent="0.2">
      <c r="A88" s="3">
        <v>46026</v>
      </c>
      <c r="B88" s="1">
        <v>3</v>
      </c>
      <c r="C88" s="1" t="s">
        <v>35</v>
      </c>
      <c r="D88" s="1" t="str">
        <f t="shared" si="1"/>
        <v/>
      </c>
      <c r="E88" s="1" t="s">
        <v>33</v>
      </c>
      <c r="F88" s="1" t="s">
        <v>22</v>
      </c>
      <c r="G88" s="1" t="s">
        <v>62</v>
      </c>
      <c r="H88" s="1">
        <v>6</v>
      </c>
      <c r="I88" s="1">
        <v>6</v>
      </c>
      <c r="J88" s="1">
        <v>4</v>
      </c>
      <c r="K88" s="2">
        <v>14801</v>
      </c>
      <c r="L88" s="2">
        <v>12105</v>
      </c>
      <c r="O88" s="4" t="str">
        <f ca="1">IFERROR(__xludf.DUMMYFUNCTION("TEXTJOIN("","", TRUE, FILTER($E$2:$E1000 &amp; $C$2:$C1000, $A$2:$A1000=A88, $B$2:$B1000=B88, $D$2:$D1000&lt;&gt;D88))"),"탑임성빈,정글지범진,미드김응민,원딜정용운,서폿이세환")</f>
        <v>탑임성빈,정글지범진,미드김응민,원딜정용운,서폿이세환</v>
      </c>
    </row>
    <row r="89" spans="1:15" ht="12.75" x14ac:dyDescent="0.2">
      <c r="A89" s="3">
        <v>46026</v>
      </c>
      <c r="B89" s="1">
        <v>3</v>
      </c>
      <c r="C89" s="1" t="s">
        <v>37</v>
      </c>
      <c r="D89" s="1" t="str">
        <f t="shared" si="1"/>
        <v/>
      </c>
      <c r="E89" s="1" t="s">
        <v>33</v>
      </c>
      <c r="F89" s="1" t="s">
        <v>18</v>
      </c>
      <c r="G89" s="1" t="s">
        <v>63</v>
      </c>
      <c r="H89" s="1">
        <v>4</v>
      </c>
      <c r="I89" s="1">
        <v>6</v>
      </c>
      <c r="J89" s="1">
        <v>5</v>
      </c>
      <c r="K89" s="2">
        <v>16595</v>
      </c>
      <c r="L89" s="2">
        <v>10995</v>
      </c>
      <c r="O89" s="4" t="str">
        <f ca="1">IFERROR(__xludf.DUMMYFUNCTION("TEXTJOIN("","", TRUE, FILTER($E$2:$E1000 &amp; $C$2:$C1000, $A$2:$A1000=A89, $B$2:$B1000=B89, $D$2:$D1000&lt;&gt;D89))"),"탑임성빈,정글지범진,미드김응민,원딜정용운,서폿이세환")</f>
        <v>탑임성빈,정글지범진,미드김응민,원딜정용운,서폿이세환</v>
      </c>
    </row>
    <row r="90" spans="1:15" ht="12.75" x14ac:dyDescent="0.2">
      <c r="A90" s="3">
        <v>46026</v>
      </c>
      <c r="B90" s="1">
        <v>3</v>
      </c>
      <c r="C90" s="1" t="s">
        <v>38</v>
      </c>
      <c r="D90" s="1" t="str">
        <f t="shared" si="1"/>
        <v/>
      </c>
      <c r="E90" s="1" t="s">
        <v>33</v>
      </c>
      <c r="F90" s="1" t="s">
        <v>28</v>
      </c>
      <c r="G90" s="1" t="s">
        <v>64</v>
      </c>
      <c r="H90" s="1">
        <v>0</v>
      </c>
      <c r="I90" s="1">
        <v>5</v>
      </c>
      <c r="J90" s="1">
        <v>6</v>
      </c>
      <c r="K90" s="2">
        <v>13261</v>
      </c>
      <c r="L90" s="2">
        <v>8982</v>
      </c>
      <c r="O90" s="4" t="str">
        <f ca="1">IFERROR(__xludf.DUMMYFUNCTION("TEXTJOIN("","", TRUE, FILTER($E$2:$E1000 &amp; $C$2:$C1000, $A$2:$A1000=A90, $B$2:$B1000=B90, $D$2:$D1000&lt;&gt;D90))"),"탑임성빈,정글지범진,미드김응민,원딜정용운,서폿이세환")</f>
        <v>탑임성빈,정글지범진,미드김응민,원딜정용운,서폿이세환</v>
      </c>
    </row>
    <row r="91" spans="1:15" ht="12.75" x14ac:dyDescent="0.2">
      <c r="A91" s="3">
        <v>46026</v>
      </c>
      <c r="B91" s="1">
        <v>3</v>
      </c>
      <c r="C91" s="1" t="s">
        <v>40</v>
      </c>
      <c r="D91" s="1" t="str">
        <f t="shared" si="1"/>
        <v/>
      </c>
      <c r="E91" s="1" t="s">
        <v>33</v>
      </c>
      <c r="F91" s="1" t="s">
        <v>30</v>
      </c>
      <c r="G91" s="1" t="s">
        <v>65</v>
      </c>
      <c r="H91" s="1">
        <v>1</v>
      </c>
      <c r="I91" s="1">
        <v>8</v>
      </c>
      <c r="J91" s="1">
        <v>8</v>
      </c>
      <c r="K91" s="2">
        <v>7688</v>
      </c>
      <c r="L91" s="2">
        <v>6986</v>
      </c>
      <c r="O91" s="4" t="str">
        <f ca="1">IFERROR(__xludf.DUMMYFUNCTION("TEXTJOIN("","", TRUE, FILTER($E$2:$E1000 &amp; $C$2:$C1000, $A$2:$A1000=A91, $B$2:$B1000=B91, $D$2:$D1000&lt;&gt;D91))"),"탑임성빈,정글지범진,미드김응민,원딜정용운,서폿이세환")</f>
        <v>탑임성빈,정글지범진,미드김응민,원딜정용운,서폿이세환</v>
      </c>
    </row>
    <row r="92" spans="1:15" ht="12.75" x14ac:dyDescent="0.2">
      <c r="A92" s="7">
        <v>46033</v>
      </c>
      <c r="B92" s="1">
        <v>1</v>
      </c>
      <c r="C92" s="1" t="s">
        <v>42</v>
      </c>
      <c r="D92" s="1" t="str">
        <f t="shared" si="1"/>
        <v>승</v>
      </c>
      <c r="E92" s="1" t="s">
        <v>15</v>
      </c>
      <c r="F92" s="1" t="s">
        <v>16</v>
      </c>
      <c r="G92" s="1" t="s">
        <v>89</v>
      </c>
      <c r="H92" s="1">
        <v>0</v>
      </c>
      <c r="I92" s="1">
        <v>4</v>
      </c>
      <c r="J92" s="1">
        <v>5</v>
      </c>
      <c r="K92" s="6"/>
      <c r="L92" s="2">
        <v>6025</v>
      </c>
      <c r="O92" s="4" t="str">
        <f ca="1">IFERROR(__xludf.DUMMYFUNCTION("TEXTJOIN("","", TRUE, FILTER($E$2:$E1000 &amp; $C$2:$C1000, $A$2:$A1000=A92, $B$2:$B1000=B92, $D$2:$D1000&lt;&gt;D92))"),"탑장동신,정글심재현,미드김응민,원딜정용운,서폿김현수")</f>
        <v>탑장동신,정글심재현,미드김응민,원딜정용운,서폿김현수</v>
      </c>
    </row>
    <row r="93" spans="1:15" ht="12.75" x14ac:dyDescent="0.2">
      <c r="A93" s="7">
        <v>46033</v>
      </c>
      <c r="B93" s="1">
        <v>1</v>
      </c>
      <c r="C93" s="1" t="s">
        <v>21</v>
      </c>
      <c r="D93" s="1" t="str">
        <f t="shared" si="1"/>
        <v>승</v>
      </c>
      <c r="E93" s="1" t="s">
        <v>15</v>
      </c>
      <c r="F93" s="1" t="s">
        <v>22</v>
      </c>
      <c r="G93" s="1" t="s">
        <v>43</v>
      </c>
      <c r="H93" s="1">
        <v>5</v>
      </c>
      <c r="I93" s="1">
        <v>1</v>
      </c>
      <c r="J93" s="1">
        <v>6</v>
      </c>
      <c r="K93" s="6"/>
      <c r="L93" s="2">
        <v>8937</v>
      </c>
      <c r="O93" s="4" t="str">
        <f ca="1">IFERROR(__xludf.DUMMYFUNCTION("TEXTJOIN("","", TRUE, FILTER($E$2:$E1000 &amp; $C$2:$C1000, $A$2:$A1000=A93, $B$2:$B1000=B93, $D$2:$D1000&lt;&gt;D93))"),"탑장동신,정글심재현,미드김응민,원딜정용운,서폿김현수")</f>
        <v>탑장동신,정글심재현,미드김응민,원딜정용운,서폿김현수</v>
      </c>
    </row>
    <row r="94" spans="1:15" ht="12.75" x14ac:dyDescent="0.2">
      <c r="A94" s="7">
        <v>46033</v>
      </c>
      <c r="B94" s="1">
        <v>1</v>
      </c>
      <c r="C94" s="1" t="s">
        <v>14</v>
      </c>
      <c r="D94" s="1" t="str">
        <f t="shared" si="1"/>
        <v>승</v>
      </c>
      <c r="E94" s="1" t="s">
        <v>15</v>
      </c>
      <c r="F94" s="1" t="s">
        <v>18</v>
      </c>
      <c r="G94" s="1" t="s">
        <v>19</v>
      </c>
      <c r="H94" s="1">
        <v>3</v>
      </c>
      <c r="I94" s="1">
        <v>3</v>
      </c>
      <c r="J94" s="1">
        <v>6</v>
      </c>
      <c r="K94" s="6"/>
      <c r="L94" s="2">
        <v>7738</v>
      </c>
      <c r="O94" s="4" t="str">
        <f ca="1">IFERROR(__xludf.DUMMYFUNCTION("TEXTJOIN("","", TRUE, FILTER($E$2:$E1000 &amp; $C$2:$C1000, $A$2:$A1000=A94, $B$2:$B1000=B94, $D$2:$D1000&lt;&gt;D94))"),"탑장동신,정글심재현,미드김응민,원딜정용운,서폿김현수")</f>
        <v>탑장동신,정글심재현,미드김응민,원딜정용운,서폿김현수</v>
      </c>
    </row>
    <row r="95" spans="1:15" ht="12.75" x14ac:dyDescent="0.2">
      <c r="A95" s="7">
        <v>46033</v>
      </c>
      <c r="B95" s="1">
        <v>1</v>
      </c>
      <c r="C95" s="1" t="s">
        <v>38</v>
      </c>
      <c r="D95" s="1" t="str">
        <f t="shared" si="1"/>
        <v>승</v>
      </c>
      <c r="E95" s="1" t="s">
        <v>15</v>
      </c>
      <c r="F95" s="1" t="s">
        <v>28</v>
      </c>
      <c r="G95" s="1" t="s">
        <v>90</v>
      </c>
      <c r="H95" s="1">
        <v>15</v>
      </c>
      <c r="I95" s="1">
        <v>3</v>
      </c>
      <c r="J95" s="1">
        <v>0</v>
      </c>
      <c r="K95" s="6"/>
      <c r="L95" s="2">
        <v>12137</v>
      </c>
      <c r="O95" s="4" t="str">
        <f ca="1">IFERROR(__xludf.DUMMYFUNCTION("TEXTJOIN("","", TRUE, FILTER($E$2:$E1000 &amp; $C$2:$C1000, $A$2:$A1000=A95, $B$2:$B1000=B95, $D$2:$D1000&lt;&gt;D95))"),"탑장동신,정글심재현,미드김응민,원딜정용운,서폿김현수")</f>
        <v>탑장동신,정글심재현,미드김응민,원딜정용운,서폿김현수</v>
      </c>
    </row>
    <row r="96" spans="1:15" ht="12.75" x14ac:dyDescent="0.2">
      <c r="A96" s="7">
        <v>46033</v>
      </c>
      <c r="B96" s="1">
        <v>1</v>
      </c>
      <c r="C96" s="1" t="s">
        <v>20</v>
      </c>
      <c r="D96" s="1" t="str">
        <f t="shared" si="1"/>
        <v>승</v>
      </c>
      <c r="E96" s="1" t="s">
        <v>15</v>
      </c>
      <c r="F96" s="1" t="s">
        <v>30</v>
      </c>
      <c r="G96" s="1" t="s">
        <v>41</v>
      </c>
      <c r="H96" s="1">
        <v>1</v>
      </c>
      <c r="I96" s="1">
        <v>4</v>
      </c>
      <c r="J96" s="1">
        <v>15</v>
      </c>
      <c r="K96" s="6"/>
      <c r="L96" s="2">
        <v>6910</v>
      </c>
      <c r="O96" s="4" t="str">
        <f ca="1">IFERROR(__xludf.DUMMYFUNCTION("TEXTJOIN("","", TRUE, FILTER($E$2:$E1000 &amp; $C$2:$C1000, $A$2:$A1000=A96, $B$2:$B1000=B96, $D$2:$D1000&lt;&gt;D96))"),"탑장동신,정글심재현,미드김응민,원딜정용운,서폿김현수")</f>
        <v>탑장동신,정글심재현,미드김응민,원딜정용운,서폿김현수</v>
      </c>
    </row>
    <row r="97" spans="1:15" ht="12.75" x14ac:dyDescent="0.2">
      <c r="A97" s="7">
        <v>46033</v>
      </c>
      <c r="B97" s="1">
        <v>1</v>
      </c>
      <c r="C97" s="1" t="s">
        <v>47</v>
      </c>
      <c r="D97" s="1" t="str">
        <f t="shared" si="1"/>
        <v>패</v>
      </c>
      <c r="E97" s="1" t="s">
        <v>33</v>
      </c>
      <c r="F97" s="1" t="s">
        <v>16</v>
      </c>
      <c r="G97" s="1" t="s">
        <v>83</v>
      </c>
      <c r="H97" s="1">
        <v>4</v>
      </c>
      <c r="I97" s="1">
        <v>4</v>
      </c>
      <c r="J97" s="1">
        <v>2</v>
      </c>
      <c r="K97" s="6"/>
      <c r="L97" s="2">
        <v>7828</v>
      </c>
      <c r="O97" s="4" t="str">
        <f ca="1">IFERROR(__xludf.DUMMYFUNCTION("TEXTJOIN("","", TRUE, FILTER($E$2:$E1000 &amp; $C$2:$C1000, $A$2:$A1000=A97, $B$2:$B1000=B97, $D$2:$D1000&lt;&gt;D97))"),"탑이진건,정글지범진,미드박상호,원딜이창호,서폿이세환")</f>
        <v>탑이진건,정글지범진,미드박상호,원딜이창호,서폿이세환</v>
      </c>
    </row>
    <row r="98" spans="1:15" ht="12.75" x14ac:dyDescent="0.2">
      <c r="A98" s="7">
        <v>46033</v>
      </c>
      <c r="B98" s="1">
        <v>1</v>
      </c>
      <c r="C98" s="1" t="s">
        <v>35</v>
      </c>
      <c r="D98" s="1" t="str">
        <f t="shared" si="1"/>
        <v>패</v>
      </c>
      <c r="E98" s="1" t="s">
        <v>33</v>
      </c>
      <c r="F98" s="1" t="s">
        <v>22</v>
      </c>
      <c r="G98" s="1" t="s">
        <v>91</v>
      </c>
      <c r="H98" s="1">
        <v>2</v>
      </c>
      <c r="I98" s="1">
        <v>4</v>
      </c>
      <c r="J98" s="1">
        <v>7</v>
      </c>
      <c r="K98" s="6"/>
      <c r="L98" s="2">
        <v>7080</v>
      </c>
      <c r="O98" s="4" t="str">
        <f ca="1">IFERROR(__xludf.DUMMYFUNCTION("TEXTJOIN("","", TRUE, FILTER($E$2:$E1000 &amp; $C$2:$C1000, $A$2:$A1000=A98, $B$2:$B1000=B98, $D$2:$D1000&lt;&gt;D98))"),"탑이진건,정글지범진,미드박상호,원딜이창호,서폿이세환")</f>
        <v>탑이진건,정글지범진,미드박상호,원딜이창호,서폿이세환</v>
      </c>
    </row>
    <row r="99" spans="1:15" ht="12.75" x14ac:dyDescent="0.2">
      <c r="A99" s="7">
        <v>46033</v>
      </c>
      <c r="B99" s="1">
        <v>1</v>
      </c>
      <c r="C99" s="1" t="s">
        <v>37</v>
      </c>
      <c r="D99" s="1" t="str">
        <f t="shared" si="1"/>
        <v>패</v>
      </c>
      <c r="E99" s="1" t="s">
        <v>33</v>
      </c>
      <c r="F99" s="1" t="s">
        <v>18</v>
      </c>
      <c r="G99" s="1" t="s">
        <v>24</v>
      </c>
      <c r="H99" s="1">
        <v>3</v>
      </c>
      <c r="I99" s="1">
        <v>5</v>
      </c>
      <c r="J99" s="1">
        <v>1</v>
      </c>
      <c r="K99" s="6"/>
      <c r="L99" s="2">
        <v>6953</v>
      </c>
      <c r="O99" s="4" t="str">
        <f ca="1">IFERROR(__xludf.DUMMYFUNCTION("TEXTJOIN("","", TRUE, FILTER($E$2:$E1000 &amp; $C$2:$C1000, $A$2:$A1000=A99, $B$2:$B1000=B99, $D$2:$D1000&lt;&gt;D99))"),"탑이진건,정글지범진,미드박상호,원딜이창호,서폿이세환")</f>
        <v>탑이진건,정글지범진,미드박상호,원딜이창호,서폿이세환</v>
      </c>
    </row>
    <row r="100" spans="1:15" ht="12.75" x14ac:dyDescent="0.2">
      <c r="A100" s="7">
        <v>46033</v>
      </c>
      <c r="B100" s="1">
        <v>1</v>
      </c>
      <c r="C100" s="1" t="s">
        <v>27</v>
      </c>
      <c r="D100" s="1" t="str">
        <f t="shared" si="1"/>
        <v>패</v>
      </c>
      <c r="E100" s="1" t="s">
        <v>33</v>
      </c>
      <c r="F100" s="1" t="s">
        <v>28</v>
      </c>
      <c r="G100" s="1" t="s">
        <v>92</v>
      </c>
      <c r="H100" s="1">
        <v>3</v>
      </c>
      <c r="I100" s="1">
        <v>7</v>
      </c>
      <c r="J100" s="1">
        <v>3</v>
      </c>
      <c r="K100" s="6"/>
      <c r="L100" s="2">
        <v>8795</v>
      </c>
      <c r="O100" s="4" t="str">
        <f ca="1">IFERROR(__xludf.DUMMYFUNCTION("TEXTJOIN("","", TRUE, FILTER($E$2:$E1000 &amp; $C$2:$C1000, $A$2:$A1000=A100, $B$2:$B1000=B100, $D$2:$D1000&lt;&gt;D100))"),"탑이진건,정글지범진,미드박상호,원딜이창호,서폿이세환")</f>
        <v>탑이진건,정글지범진,미드박상호,원딜이창호,서폿이세환</v>
      </c>
    </row>
    <row r="101" spans="1:15" ht="12.75" x14ac:dyDescent="0.2">
      <c r="A101" s="7">
        <v>46033</v>
      </c>
      <c r="B101" s="1">
        <v>1</v>
      </c>
      <c r="C101" s="1" t="s">
        <v>40</v>
      </c>
      <c r="D101" s="1" t="str">
        <f t="shared" si="1"/>
        <v>패</v>
      </c>
      <c r="E101" s="1" t="s">
        <v>33</v>
      </c>
      <c r="F101" s="1" t="s">
        <v>30</v>
      </c>
      <c r="G101" s="1" t="s">
        <v>60</v>
      </c>
      <c r="H101" s="1">
        <v>3</v>
      </c>
      <c r="I101" s="1">
        <v>4</v>
      </c>
      <c r="J101" s="1">
        <v>5</v>
      </c>
      <c r="K101" s="6"/>
      <c r="L101" s="2">
        <v>6293</v>
      </c>
      <c r="O101" s="4" t="str">
        <f ca="1">IFERROR(__xludf.DUMMYFUNCTION("TEXTJOIN("","", TRUE, FILTER($E$2:$E1000 &amp; $C$2:$C1000, $A$2:$A1000=A101, $B$2:$B1000=B101, $D$2:$D1000&lt;&gt;D101))"),"탑이진건,정글지범진,미드박상호,원딜이창호,서폿이세환")</f>
        <v>탑이진건,정글지범진,미드박상호,원딜이창호,서폿이세환</v>
      </c>
    </row>
    <row r="102" spans="1:15" ht="12.75" x14ac:dyDescent="0.2">
      <c r="A102" s="7">
        <v>46033</v>
      </c>
      <c r="B102" s="1">
        <v>2</v>
      </c>
      <c r="C102" s="1" t="s">
        <v>42</v>
      </c>
      <c r="D102" s="1" t="str">
        <f t="shared" si="1"/>
        <v/>
      </c>
      <c r="E102" s="1" t="s">
        <v>33</v>
      </c>
      <c r="F102" s="1" t="s">
        <v>16</v>
      </c>
      <c r="G102" s="1" t="s">
        <v>78</v>
      </c>
      <c r="H102" s="1">
        <v>7</v>
      </c>
      <c r="I102" s="1">
        <v>10</v>
      </c>
      <c r="J102" s="1">
        <v>4</v>
      </c>
      <c r="K102" s="6"/>
      <c r="L102" s="2">
        <v>16277</v>
      </c>
      <c r="O102" s="4" t="str">
        <f ca="1">IFERROR(__xludf.DUMMYFUNCTION("TEXTJOIN("","", TRUE, FILTER($E$2:$E1000 &amp; $C$2:$C1000, $A$2:$A1000=A102, $B$2:$B1000=B102, $D$2:$D1000&lt;&gt;D102))"),"탑장동신,정글심재현,미드김응민,원딜정용운,서폿김현수")</f>
        <v>탑장동신,정글심재현,미드김응민,원딜정용운,서폿김현수</v>
      </c>
    </row>
    <row r="103" spans="1:15" ht="12.75" x14ac:dyDescent="0.2">
      <c r="A103" s="7">
        <v>46033</v>
      </c>
      <c r="B103" s="1">
        <v>2</v>
      </c>
      <c r="C103" s="1" t="s">
        <v>21</v>
      </c>
      <c r="D103" s="1" t="str">
        <f t="shared" si="1"/>
        <v/>
      </c>
      <c r="E103" s="1" t="s">
        <v>33</v>
      </c>
      <c r="F103" s="1" t="s">
        <v>22</v>
      </c>
      <c r="G103" s="1" t="s">
        <v>87</v>
      </c>
      <c r="H103" s="1">
        <v>4</v>
      </c>
      <c r="I103" s="1">
        <v>7</v>
      </c>
      <c r="J103" s="1">
        <v>7</v>
      </c>
      <c r="K103" s="6"/>
      <c r="L103" s="2">
        <v>13127</v>
      </c>
      <c r="O103" s="4" t="str">
        <f ca="1">IFERROR(__xludf.DUMMYFUNCTION("TEXTJOIN("","", TRUE, FILTER($E$2:$E1000 &amp; $C$2:$C1000, $A$2:$A1000=A103, $B$2:$B1000=B103, $D$2:$D1000&lt;&gt;D103))"),"탑장동신,정글심재현,미드김응민,원딜정용운,서폿김현수")</f>
        <v>탑장동신,정글심재현,미드김응민,원딜정용운,서폿김현수</v>
      </c>
    </row>
    <row r="104" spans="1:15" ht="12.75" x14ac:dyDescent="0.2">
      <c r="A104" s="7">
        <v>46033</v>
      </c>
      <c r="B104" s="1">
        <v>2</v>
      </c>
      <c r="C104" s="1" t="s">
        <v>14</v>
      </c>
      <c r="D104" s="1" t="str">
        <f t="shared" si="1"/>
        <v/>
      </c>
      <c r="E104" s="1" t="s">
        <v>33</v>
      </c>
      <c r="F104" s="1" t="s">
        <v>18</v>
      </c>
      <c r="G104" s="1" t="s">
        <v>82</v>
      </c>
      <c r="H104" s="1">
        <v>7</v>
      </c>
      <c r="I104" s="1">
        <v>6</v>
      </c>
      <c r="J104" s="1">
        <v>12</v>
      </c>
      <c r="K104" s="6"/>
      <c r="L104" s="2">
        <v>15065</v>
      </c>
      <c r="O104" s="4" t="str">
        <f ca="1">IFERROR(__xludf.DUMMYFUNCTION("TEXTJOIN("","", TRUE, FILTER($E$2:$E1000 &amp; $C$2:$C1000, $A$2:$A1000=A104, $B$2:$B1000=B104, $D$2:$D1000&lt;&gt;D104))"),"탑장동신,정글심재현,미드김응민,원딜정용운,서폿김현수")</f>
        <v>탑장동신,정글심재현,미드김응민,원딜정용운,서폿김현수</v>
      </c>
    </row>
    <row r="105" spans="1:15" ht="12.75" x14ac:dyDescent="0.2">
      <c r="A105" s="7">
        <v>46033</v>
      </c>
      <c r="B105" s="1">
        <v>2</v>
      </c>
      <c r="C105" s="1" t="s">
        <v>38</v>
      </c>
      <c r="D105" s="1" t="str">
        <f t="shared" si="1"/>
        <v/>
      </c>
      <c r="E105" s="1" t="s">
        <v>33</v>
      </c>
      <c r="F105" s="1" t="s">
        <v>28</v>
      </c>
      <c r="G105" s="1" t="s">
        <v>90</v>
      </c>
      <c r="H105" s="1">
        <v>15</v>
      </c>
      <c r="I105" s="1">
        <v>12</v>
      </c>
      <c r="J105" s="1">
        <v>5</v>
      </c>
      <c r="K105" s="6"/>
      <c r="L105" s="2">
        <v>17784</v>
      </c>
      <c r="O105" s="4" t="str">
        <f ca="1">IFERROR(__xludf.DUMMYFUNCTION("TEXTJOIN("","", TRUE, FILTER($E$2:$E1000 &amp; $C$2:$C1000, $A$2:$A1000=A105, $B$2:$B1000=B105, $D$2:$D1000&lt;&gt;D105))"),"탑장동신,정글심재현,미드김응민,원딜정용운,서폿김현수")</f>
        <v>탑장동신,정글심재현,미드김응민,원딜정용운,서폿김현수</v>
      </c>
    </row>
    <row r="106" spans="1:15" ht="12.75" x14ac:dyDescent="0.2">
      <c r="A106" s="7">
        <v>46033</v>
      </c>
      <c r="B106" s="1">
        <v>2</v>
      </c>
      <c r="C106" s="1" t="s">
        <v>20</v>
      </c>
      <c r="D106" s="1" t="str">
        <f t="shared" si="1"/>
        <v/>
      </c>
      <c r="E106" s="1" t="s">
        <v>33</v>
      </c>
      <c r="F106" s="1" t="s">
        <v>30</v>
      </c>
      <c r="G106" s="1" t="s">
        <v>81</v>
      </c>
      <c r="H106" s="1">
        <v>3</v>
      </c>
      <c r="I106" s="1">
        <v>10</v>
      </c>
      <c r="J106" s="1">
        <v>19</v>
      </c>
      <c r="K106" s="6"/>
      <c r="L106" s="2">
        <v>10313</v>
      </c>
      <c r="O106" s="4" t="str">
        <f ca="1">IFERROR(__xludf.DUMMYFUNCTION("TEXTJOIN("","", TRUE, FILTER($E$2:$E1000 &amp; $C$2:$C1000, $A$2:$A1000=A106, $B$2:$B1000=B106, $D$2:$D1000&lt;&gt;D106))"),"탑장동신,정글심재현,미드김응민,원딜정용운,서폿김현수")</f>
        <v>탑장동신,정글심재현,미드김응민,원딜정용운,서폿김현수</v>
      </c>
    </row>
    <row r="107" spans="1:15" ht="12.75" x14ac:dyDescent="0.2">
      <c r="A107" s="7">
        <v>46033</v>
      </c>
      <c r="B107" s="1">
        <v>2</v>
      </c>
      <c r="C107" s="1" t="s">
        <v>47</v>
      </c>
      <c r="D107" s="1" t="str">
        <f t="shared" si="1"/>
        <v/>
      </c>
      <c r="E107" s="1" t="s">
        <v>15</v>
      </c>
      <c r="F107" s="1" t="s">
        <v>16</v>
      </c>
      <c r="G107" s="1" t="s">
        <v>83</v>
      </c>
      <c r="H107" s="1">
        <v>2</v>
      </c>
      <c r="I107" s="1">
        <v>8</v>
      </c>
      <c r="J107" s="1">
        <v>11</v>
      </c>
      <c r="K107" s="6"/>
      <c r="L107" s="2">
        <v>10840</v>
      </c>
      <c r="O107" s="4" t="str">
        <f ca="1">IFERROR(__xludf.DUMMYFUNCTION("TEXTJOIN("","", TRUE, FILTER($E$2:$E1000 &amp; $C$2:$C1000, $A$2:$A1000=A107, $B$2:$B1000=B107, $D$2:$D1000&lt;&gt;D107))"),"탑이진건,정글지범진,미드박상호,원딜이창호,서폿이세환")</f>
        <v>탑이진건,정글지범진,미드박상호,원딜이창호,서폿이세환</v>
      </c>
    </row>
    <row r="108" spans="1:15" ht="12.75" x14ac:dyDescent="0.2">
      <c r="A108" s="7">
        <v>46033</v>
      </c>
      <c r="B108" s="1">
        <v>2</v>
      </c>
      <c r="C108" s="1" t="s">
        <v>35</v>
      </c>
      <c r="D108" s="1" t="str">
        <f t="shared" si="1"/>
        <v/>
      </c>
      <c r="E108" s="1" t="s">
        <v>15</v>
      </c>
      <c r="F108" s="1" t="s">
        <v>22</v>
      </c>
      <c r="G108" s="1" t="s">
        <v>93</v>
      </c>
      <c r="H108" s="1">
        <v>19</v>
      </c>
      <c r="I108" s="1">
        <v>10</v>
      </c>
      <c r="J108" s="1">
        <v>16</v>
      </c>
      <c r="K108" s="6"/>
      <c r="L108" s="2">
        <v>20792</v>
      </c>
      <c r="O108" s="4" t="str">
        <f ca="1">IFERROR(__xludf.DUMMYFUNCTION("TEXTJOIN("","", TRUE, FILTER($E$2:$E1000 &amp; $C$2:$C1000, $A$2:$A1000=A108, $B$2:$B1000=B108, $D$2:$D1000&lt;&gt;D108))"),"탑이진건,정글지범진,미드박상호,원딜이창호,서폿이세환")</f>
        <v>탑이진건,정글지범진,미드박상호,원딜이창호,서폿이세환</v>
      </c>
    </row>
    <row r="109" spans="1:15" ht="12.75" x14ac:dyDescent="0.2">
      <c r="A109" s="7">
        <v>46033</v>
      </c>
      <c r="B109" s="1">
        <v>2</v>
      </c>
      <c r="C109" s="1" t="s">
        <v>37</v>
      </c>
      <c r="D109" s="1" t="str">
        <f t="shared" si="1"/>
        <v/>
      </c>
      <c r="E109" s="1" t="s">
        <v>15</v>
      </c>
      <c r="F109" s="1" t="s">
        <v>18</v>
      </c>
      <c r="G109" s="1" t="s">
        <v>24</v>
      </c>
      <c r="H109" s="1">
        <v>11</v>
      </c>
      <c r="I109" s="1">
        <v>4</v>
      </c>
      <c r="J109" s="1">
        <v>17</v>
      </c>
      <c r="K109" s="6"/>
      <c r="L109" s="2">
        <v>18166</v>
      </c>
      <c r="O109" s="4" t="str">
        <f ca="1">IFERROR(__xludf.DUMMYFUNCTION("TEXTJOIN("","", TRUE, FILTER($E$2:$E1000 &amp; $C$2:$C1000, $A$2:$A1000=A109, $B$2:$B1000=B109, $D$2:$D1000&lt;&gt;D109))"),"탑이진건,정글지범진,미드박상호,원딜이창호,서폿이세환")</f>
        <v>탑이진건,정글지범진,미드박상호,원딜이창호,서폿이세환</v>
      </c>
    </row>
    <row r="110" spans="1:15" ht="12.75" x14ac:dyDescent="0.2">
      <c r="A110" s="7">
        <v>46033</v>
      </c>
      <c r="B110" s="1">
        <v>2</v>
      </c>
      <c r="C110" s="1" t="s">
        <v>27</v>
      </c>
      <c r="D110" s="1" t="str">
        <f t="shared" si="1"/>
        <v/>
      </c>
      <c r="E110" s="1" t="s">
        <v>15</v>
      </c>
      <c r="F110" s="1" t="s">
        <v>28</v>
      </c>
      <c r="G110" s="1" t="s">
        <v>39</v>
      </c>
      <c r="H110" s="1">
        <v>9</v>
      </c>
      <c r="I110" s="1">
        <v>7</v>
      </c>
      <c r="J110" s="1">
        <v>23</v>
      </c>
      <c r="K110" s="6"/>
      <c r="L110" s="2">
        <v>18989</v>
      </c>
      <c r="O110" s="4" t="str">
        <f ca="1">IFERROR(__xludf.DUMMYFUNCTION("TEXTJOIN("","", TRUE, FILTER($E$2:$E1000 &amp; $C$2:$C1000, $A$2:$A1000=A110, $B$2:$B1000=B110, $D$2:$D1000&lt;&gt;D110))"),"탑이진건,정글지범진,미드박상호,원딜이창호,서폿이세환")</f>
        <v>탑이진건,정글지범진,미드박상호,원딜이창호,서폿이세환</v>
      </c>
    </row>
    <row r="111" spans="1:15" ht="12.75" x14ac:dyDescent="0.2">
      <c r="A111" s="7">
        <v>46033</v>
      </c>
      <c r="B111" s="1">
        <v>2</v>
      </c>
      <c r="C111" s="1" t="s">
        <v>40</v>
      </c>
      <c r="D111" s="1" t="str">
        <f t="shared" si="1"/>
        <v/>
      </c>
      <c r="E111" s="1" t="s">
        <v>15</v>
      </c>
      <c r="F111" s="1" t="s">
        <v>30</v>
      </c>
      <c r="G111" s="1" t="s">
        <v>41</v>
      </c>
      <c r="H111" s="1">
        <v>4</v>
      </c>
      <c r="I111" s="1">
        <v>7</v>
      </c>
      <c r="J111" s="1">
        <v>29</v>
      </c>
      <c r="K111" s="6"/>
      <c r="L111" s="2">
        <v>12126</v>
      </c>
      <c r="O111" s="4" t="str">
        <f ca="1">IFERROR(__xludf.DUMMYFUNCTION("TEXTJOIN("","", TRUE, FILTER($E$2:$E1000 &amp; $C$2:$C1000, $A$2:$A1000=A111, $B$2:$B1000=B111, $D$2:$D1000&lt;&gt;D111))"),"탑이진건,정글지범진,미드박상호,원딜이창호,서폿이세환")</f>
        <v>탑이진건,정글지범진,미드박상호,원딜이창호,서폿이세환</v>
      </c>
    </row>
    <row r="112" spans="1:15" ht="12.75" x14ac:dyDescent="0.2">
      <c r="A112" s="7">
        <v>46033</v>
      </c>
      <c r="B112" s="1">
        <v>3</v>
      </c>
      <c r="C112" s="1" t="s">
        <v>42</v>
      </c>
      <c r="D112" s="1" t="str">
        <f t="shared" si="1"/>
        <v/>
      </c>
      <c r="E112" s="1" t="s">
        <v>15</v>
      </c>
      <c r="F112" s="1" t="s">
        <v>16</v>
      </c>
      <c r="G112" s="1" t="s">
        <v>89</v>
      </c>
      <c r="H112" s="1">
        <v>6</v>
      </c>
      <c r="I112" s="1">
        <v>9</v>
      </c>
      <c r="J112" s="1">
        <v>6</v>
      </c>
      <c r="K112" s="6"/>
      <c r="L112" s="2">
        <v>13861</v>
      </c>
      <c r="O112" s="4" t="str">
        <f ca="1">IFERROR(__xludf.DUMMYFUNCTION("TEXTJOIN("","", TRUE, FILTER($E$2:$E1000 &amp; $C$2:$C1000, $A$2:$A1000=A112, $B$2:$B1000=B112, $D$2:$D1000&lt;&gt;D112))"),"탑정용운,정글심재현,미드김응민,원딜장동신,서폿김현수")</f>
        <v>탑정용운,정글심재현,미드김응민,원딜장동신,서폿김현수</v>
      </c>
    </row>
    <row r="113" spans="1:15" ht="12.75" x14ac:dyDescent="0.2">
      <c r="A113" s="7">
        <v>46033</v>
      </c>
      <c r="B113" s="1">
        <v>3</v>
      </c>
      <c r="C113" s="1" t="s">
        <v>21</v>
      </c>
      <c r="D113" s="1" t="str">
        <f t="shared" si="1"/>
        <v/>
      </c>
      <c r="E113" s="1" t="s">
        <v>15</v>
      </c>
      <c r="F113" s="1" t="s">
        <v>22</v>
      </c>
      <c r="G113" s="1" t="s">
        <v>34</v>
      </c>
      <c r="H113" s="1">
        <v>5</v>
      </c>
      <c r="I113" s="1">
        <v>7</v>
      </c>
      <c r="J113" s="1">
        <v>13</v>
      </c>
      <c r="K113" s="6"/>
      <c r="L113" s="2">
        <v>14014</v>
      </c>
      <c r="O113" s="4" t="str">
        <f ca="1">IFERROR(__xludf.DUMMYFUNCTION("TEXTJOIN("","", TRUE, FILTER($E$2:$E1000 &amp; $C$2:$C1000, $A$2:$A1000=A113, $B$2:$B1000=B113, $D$2:$D1000&lt;&gt;D113))"),"탑정용운,정글심재현,미드김응민,원딜장동신,서폿김현수")</f>
        <v>탑정용운,정글심재현,미드김응민,원딜장동신,서폿김현수</v>
      </c>
    </row>
    <row r="114" spans="1:15" ht="12.75" x14ac:dyDescent="0.2">
      <c r="A114" s="7">
        <v>46033</v>
      </c>
      <c r="B114" s="1">
        <v>3</v>
      </c>
      <c r="C114" s="1" t="s">
        <v>14</v>
      </c>
      <c r="D114" s="1" t="str">
        <f t="shared" si="1"/>
        <v/>
      </c>
      <c r="E114" s="1" t="s">
        <v>15</v>
      </c>
      <c r="F114" s="1" t="s">
        <v>18</v>
      </c>
      <c r="G114" s="1" t="s">
        <v>82</v>
      </c>
      <c r="H114" s="1">
        <v>3</v>
      </c>
      <c r="I114" s="1">
        <v>8</v>
      </c>
      <c r="J114" s="1">
        <v>24</v>
      </c>
      <c r="K114" s="6"/>
      <c r="L114" s="2">
        <v>14072</v>
      </c>
      <c r="O114" s="4" t="str">
        <f ca="1">IFERROR(__xludf.DUMMYFUNCTION("TEXTJOIN("","", TRUE, FILTER($E$2:$E1000 &amp; $C$2:$C1000, $A$2:$A1000=A114, $B$2:$B1000=B114, $D$2:$D1000&lt;&gt;D114))"),"탑정용운,정글심재현,미드김응민,원딜장동신,서폿김현수")</f>
        <v>탑정용운,정글심재현,미드김응민,원딜장동신,서폿김현수</v>
      </c>
    </row>
    <row r="115" spans="1:15" ht="12.75" x14ac:dyDescent="0.2">
      <c r="A115" s="7">
        <v>46033</v>
      </c>
      <c r="B115" s="1">
        <v>3</v>
      </c>
      <c r="C115" s="1" t="s">
        <v>38</v>
      </c>
      <c r="D115" s="1" t="str">
        <f t="shared" si="1"/>
        <v/>
      </c>
      <c r="E115" s="1" t="s">
        <v>15</v>
      </c>
      <c r="F115" s="1" t="s">
        <v>28</v>
      </c>
      <c r="G115" s="1" t="s">
        <v>69</v>
      </c>
      <c r="H115" s="1">
        <v>17</v>
      </c>
      <c r="I115" s="1">
        <v>7</v>
      </c>
      <c r="J115" s="1">
        <v>11</v>
      </c>
      <c r="K115" s="6"/>
      <c r="L115" s="2">
        <v>20267</v>
      </c>
      <c r="O115" s="4" t="str">
        <f ca="1">IFERROR(__xludf.DUMMYFUNCTION("TEXTJOIN("","", TRUE, FILTER($E$2:$E1000 &amp; $C$2:$C1000, $A$2:$A1000=A115, $B$2:$B1000=B115, $D$2:$D1000&lt;&gt;D115))"),"탑정용운,정글심재현,미드김응민,원딜장동신,서폿김현수")</f>
        <v>탑정용운,정글심재현,미드김응민,원딜장동신,서폿김현수</v>
      </c>
    </row>
    <row r="116" spans="1:15" ht="12.75" x14ac:dyDescent="0.2">
      <c r="A116" s="7">
        <v>46033</v>
      </c>
      <c r="B116" s="1">
        <v>3</v>
      </c>
      <c r="C116" s="1" t="s">
        <v>20</v>
      </c>
      <c r="D116" s="1" t="str">
        <f t="shared" si="1"/>
        <v/>
      </c>
      <c r="E116" s="1" t="s">
        <v>15</v>
      </c>
      <c r="F116" s="1" t="s">
        <v>30</v>
      </c>
      <c r="G116" s="1" t="s">
        <v>36</v>
      </c>
      <c r="H116" s="1">
        <v>16</v>
      </c>
      <c r="I116" s="1">
        <v>9</v>
      </c>
      <c r="J116" s="1">
        <v>19</v>
      </c>
      <c r="K116" s="6"/>
      <c r="L116" s="2">
        <v>16052</v>
      </c>
      <c r="O116" s="4" t="str">
        <f ca="1">IFERROR(__xludf.DUMMYFUNCTION("TEXTJOIN("","", TRUE, FILTER($E$2:$E1000 &amp; $C$2:$C1000, $A$2:$A1000=A116, $B$2:$B1000=B116, $D$2:$D1000&lt;&gt;D116))"),"탑정용운,정글심재현,미드김응민,원딜장동신,서폿김현수")</f>
        <v>탑정용운,정글심재현,미드김응민,원딜장동신,서폿김현수</v>
      </c>
    </row>
    <row r="117" spans="1:15" ht="12.75" x14ac:dyDescent="0.2">
      <c r="A117" s="7">
        <v>46033</v>
      </c>
      <c r="B117" s="1">
        <v>3</v>
      </c>
      <c r="C117" s="1" t="s">
        <v>27</v>
      </c>
      <c r="D117" s="1" t="str">
        <f t="shared" si="1"/>
        <v/>
      </c>
      <c r="E117" s="1" t="s">
        <v>33</v>
      </c>
      <c r="F117" s="1" t="s">
        <v>16</v>
      </c>
      <c r="G117" s="1" t="s">
        <v>23</v>
      </c>
      <c r="H117" s="1">
        <v>10</v>
      </c>
      <c r="I117" s="1">
        <v>5</v>
      </c>
      <c r="J117" s="1">
        <v>12</v>
      </c>
      <c r="K117" s="6"/>
      <c r="L117" s="2">
        <v>14965</v>
      </c>
      <c r="O117" s="4" t="str">
        <f ca="1">IFERROR(__xludf.DUMMYFUNCTION("TEXTJOIN("","", TRUE, FILTER($E$2:$E1000 &amp; $C$2:$C1000, $A$2:$A1000=A117, $B$2:$B1000=B117, $D$2:$D1000&lt;&gt;D117))"),"탑이진건,정글지범진,미드박상호,원딜이창호,서폿이세환")</f>
        <v>탑이진건,정글지범진,미드박상호,원딜이창호,서폿이세환</v>
      </c>
    </row>
    <row r="118" spans="1:15" ht="12.75" x14ac:dyDescent="0.2">
      <c r="A118" s="7">
        <v>46033</v>
      </c>
      <c r="B118" s="1">
        <v>3</v>
      </c>
      <c r="C118" s="1" t="s">
        <v>35</v>
      </c>
      <c r="D118" s="1" t="str">
        <f t="shared" si="1"/>
        <v/>
      </c>
      <c r="E118" s="1" t="s">
        <v>33</v>
      </c>
      <c r="F118" s="1" t="s">
        <v>22</v>
      </c>
      <c r="G118" s="1" t="s">
        <v>94</v>
      </c>
      <c r="H118" s="1">
        <v>17</v>
      </c>
      <c r="I118" s="1">
        <v>9</v>
      </c>
      <c r="J118" s="1">
        <v>11</v>
      </c>
      <c r="K118" s="6"/>
      <c r="L118" s="2">
        <v>19605</v>
      </c>
      <c r="O118" s="4" t="str">
        <f ca="1">IFERROR(__xludf.DUMMYFUNCTION("TEXTJOIN("","", TRUE, FILTER($E$2:$E1000 &amp; $C$2:$C1000, $A$2:$A1000=A118, $B$2:$B1000=B118, $D$2:$D1000&lt;&gt;D118))"),"탑이진건,정글지범진,미드박상호,원딜이창호,서폿이세환")</f>
        <v>탑이진건,정글지범진,미드박상호,원딜이창호,서폿이세환</v>
      </c>
    </row>
    <row r="119" spans="1:15" ht="12.75" x14ac:dyDescent="0.2">
      <c r="A119" s="7">
        <v>46033</v>
      </c>
      <c r="B119" s="1">
        <v>3</v>
      </c>
      <c r="C119" s="1" t="s">
        <v>37</v>
      </c>
      <c r="D119" s="1" t="str">
        <f t="shared" si="1"/>
        <v/>
      </c>
      <c r="E119" s="1" t="s">
        <v>33</v>
      </c>
      <c r="F119" s="1" t="s">
        <v>18</v>
      </c>
      <c r="G119" s="1" t="s">
        <v>24</v>
      </c>
      <c r="H119" s="1">
        <v>7</v>
      </c>
      <c r="I119" s="1">
        <v>10</v>
      </c>
      <c r="J119" s="1">
        <v>16</v>
      </c>
      <c r="K119" s="6"/>
      <c r="L119" s="2">
        <v>1549</v>
      </c>
      <c r="O119" s="4" t="str">
        <f ca="1">IFERROR(__xludf.DUMMYFUNCTION("TEXTJOIN("","", TRUE, FILTER($E$2:$E1000 &amp; $C$2:$C1000, $A$2:$A1000=A119, $B$2:$B1000=B119, $D$2:$D1000&lt;&gt;D119))"),"탑이진건,정글지범진,미드박상호,원딜이창호,서폿이세환")</f>
        <v>탑이진건,정글지범진,미드박상호,원딜이창호,서폿이세환</v>
      </c>
    </row>
    <row r="120" spans="1:15" ht="12.75" x14ac:dyDescent="0.2">
      <c r="A120" s="7">
        <v>46033</v>
      </c>
      <c r="B120" s="1">
        <v>3</v>
      </c>
      <c r="C120" s="1" t="s">
        <v>47</v>
      </c>
      <c r="D120" s="1" t="str">
        <f t="shared" si="1"/>
        <v/>
      </c>
      <c r="E120" s="1" t="s">
        <v>33</v>
      </c>
      <c r="F120" s="1" t="s">
        <v>28</v>
      </c>
      <c r="G120" s="1" t="s">
        <v>95</v>
      </c>
      <c r="H120" s="1">
        <v>4</v>
      </c>
      <c r="I120" s="1">
        <v>12</v>
      </c>
      <c r="J120" s="1">
        <v>14</v>
      </c>
      <c r="K120" s="6"/>
      <c r="L120" s="2">
        <v>12828</v>
      </c>
      <c r="O120" s="4" t="str">
        <f ca="1">IFERROR(__xludf.DUMMYFUNCTION("TEXTJOIN("","", TRUE, FILTER($E$2:$E1000 &amp; $C$2:$C1000, $A$2:$A1000=A120, $B$2:$B1000=B120, $D$2:$D1000&lt;&gt;D120))"),"탑이진건,정글지범진,미드박상호,원딜이창호,서폿이세환")</f>
        <v>탑이진건,정글지범진,미드박상호,원딜이창호,서폿이세환</v>
      </c>
    </row>
    <row r="121" spans="1:15" ht="12.75" x14ac:dyDescent="0.2">
      <c r="A121" s="7">
        <v>46033</v>
      </c>
      <c r="B121" s="1">
        <v>3</v>
      </c>
      <c r="C121" s="1" t="s">
        <v>40</v>
      </c>
      <c r="D121" s="1" t="str">
        <f t="shared" si="1"/>
        <v/>
      </c>
      <c r="E121" s="1" t="s">
        <v>33</v>
      </c>
      <c r="F121" s="1" t="s">
        <v>30</v>
      </c>
      <c r="G121" s="1" t="s">
        <v>41</v>
      </c>
      <c r="H121" s="1">
        <v>2</v>
      </c>
      <c r="I121" s="1">
        <v>11</v>
      </c>
      <c r="J121" s="1">
        <v>24</v>
      </c>
      <c r="K121" s="6"/>
      <c r="L121" s="2">
        <v>11536</v>
      </c>
      <c r="O121" s="4" t="str">
        <f ca="1">IFERROR(__xludf.DUMMYFUNCTION("TEXTJOIN("","", TRUE, FILTER($E$2:$E1000 &amp; $C$2:$C1000, $A$2:$A1000=A121, $B$2:$B1000=B121, $D$2:$D1000&lt;&gt;D121))"),"탑이진건,정글지범진,미드박상호,원딜이창호,서폿이세환")</f>
        <v>탑이진건,정글지범진,미드박상호,원딜이창호,서폿이세환</v>
      </c>
    </row>
    <row r="122" spans="1:15" ht="12.75" x14ac:dyDescent="0.2">
      <c r="A122" s="7">
        <v>46054</v>
      </c>
      <c r="B122" s="1">
        <v>1</v>
      </c>
      <c r="C122" s="1" t="s">
        <v>25</v>
      </c>
      <c r="D122" s="1" t="str">
        <f t="shared" si="1"/>
        <v>승</v>
      </c>
      <c r="E122" s="1" t="s">
        <v>33</v>
      </c>
      <c r="F122" s="1" t="s">
        <v>16</v>
      </c>
      <c r="G122" s="1" t="s">
        <v>34</v>
      </c>
      <c r="H122" s="1">
        <v>1</v>
      </c>
      <c r="I122" s="1">
        <v>5</v>
      </c>
      <c r="J122" s="1">
        <v>0</v>
      </c>
      <c r="K122" s="6"/>
      <c r="L122" s="6"/>
      <c r="O122" s="4" t="str">
        <f ca="1">IFERROR(__xludf.DUMMYFUNCTION("TEXTJOIN("","", TRUE, FILTER($E$2:$E1000 &amp; $C$2:$C1000, $A$2:$A1000=A122, $B$2:$B1000=B122, $D$2:$D1000&lt;&gt;D122))"),"탑신현우,정글이진건,미드박상호,원딜이창호,서폿심재현")</f>
        <v>탑신현우,정글이진건,미드박상호,원딜이창호,서폿심재현</v>
      </c>
    </row>
    <row r="123" spans="1:15" ht="12.75" x14ac:dyDescent="0.2">
      <c r="A123" s="7">
        <v>46054</v>
      </c>
      <c r="B123" s="1">
        <v>1</v>
      </c>
      <c r="C123" s="1" t="s">
        <v>21</v>
      </c>
      <c r="D123" s="1" t="str">
        <f t="shared" si="1"/>
        <v>승</v>
      </c>
      <c r="E123" s="1" t="s">
        <v>33</v>
      </c>
      <c r="F123" s="1" t="s">
        <v>22</v>
      </c>
      <c r="G123" s="1" t="s">
        <v>67</v>
      </c>
      <c r="H123" s="1">
        <v>4</v>
      </c>
      <c r="I123" s="1">
        <v>7</v>
      </c>
      <c r="J123" s="1">
        <v>5</v>
      </c>
      <c r="K123" s="6"/>
      <c r="L123" s="6"/>
      <c r="O123" s="4" t="str">
        <f ca="1">IFERROR(__xludf.DUMMYFUNCTION("TEXTJOIN("","", TRUE, FILTER($E$2:$E1000 &amp; $C$2:$C1000, $A$2:$A1000=A123, $B$2:$B1000=B123, $D$2:$D1000&lt;&gt;D123))"),"탑신현우,정글이진건,미드박상호,원딜이창호,서폿심재현")</f>
        <v>탑신현우,정글이진건,미드박상호,원딜이창호,서폿심재현</v>
      </c>
    </row>
    <row r="124" spans="1:15" ht="12.75" x14ac:dyDescent="0.2">
      <c r="A124" s="7">
        <v>46054</v>
      </c>
      <c r="B124" s="1">
        <v>1</v>
      </c>
      <c r="C124" s="1" t="s">
        <v>27</v>
      </c>
      <c r="D124" s="1" t="str">
        <f t="shared" si="1"/>
        <v>패</v>
      </c>
      <c r="E124" s="1" t="s">
        <v>33</v>
      </c>
      <c r="F124" s="1" t="s">
        <v>18</v>
      </c>
      <c r="G124" s="1" t="s">
        <v>24</v>
      </c>
      <c r="H124" s="1">
        <v>3</v>
      </c>
      <c r="I124" s="1">
        <v>6</v>
      </c>
      <c r="J124" s="1">
        <v>4</v>
      </c>
      <c r="K124" s="6"/>
      <c r="L124" s="6"/>
      <c r="O124" s="4" t="str">
        <f ca="1">IFERROR(__xludf.DUMMYFUNCTION("TEXTJOIN("","", TRUE, FILTER($E$2:$E1000 &amp; $C$2:$C1000, $A$2:$A1000=A124, $B$2:$B1000=B124, $D$2:$D1000&lt;&gt;D124))"),"탑신현우,정글이진건,미드박상호,원딜이창호,서폿심재현")</f>
        <v>탑신현우,정글이진건,미드박상호,원딜이창호,서폿심재현</v>
      </c>
    </row>
    <row r="125" spans="1:15" ht="12.75" x14ac:dyDescent="0.2">
      <c r="A125" s="7">
        <v>46054</v>
      </c>
      <c r="B125" s="1">
        <v>1</v>
      </c>
      <c r="C125" s="1" t="s">
        <v>37</v>
      </c>
      <c r="D125" s="1" t="str">
        <f t="shared" si="1"/>
        <v>승</v>
      </c>
      <c r="E125" s="1" t="s">
        <v>33</v>
      </c>
      <c r="F125" s="1" t="s">
        <v>28</v>
      </c>
      <c r="G125" s="1" t="s">
        <v>92</v>
      </c>
      <c r="H125" s="1">
        <v>7</v>
      </c>
      <c r="I125" s="1">
        <v>11</v>
      </c>
      <c r="J125" s="1">
        <v>3</v>
      </c>
      <c r="K125" s="6"/>
      <c r="L125" s="6"/>
      <c r="O125" s="4" t="str">
        <f ca="1">IFERROR(__xludf.DUMMYFUNCTION("TEXTJOIN("","", TRUE, FILTER($E$2:$E1000 &amp; $C$2:$C1000, $A$2:$A1000=A125, $B$2:$B1000=B125, $D$2:$D1000&lt;&gt;D125))"),"탑신현우,정글이진건,미드박상호,원딜이창호,서폿심재현")</f>
        <v>탑신현우,정글이진건,미드박상호,원딜이창호,서폿심재현</v>
      </c>
    </row>
    <row r="126" spans="1:15" ht="12.75" x14ac:dyDescent="0.2">
      <c r="A126" s="7">
        <v>46054</v>
      </c>
      <c r="B126" s="1">
        <v>1</v>
      </c>
      <c r="C126" s="1" t="s">
        <v>40</v>
      </c>
      <c r="D126" s="1" t="str">
        <f t="shared" si="1"/>
        <v>승</v>
      </c>
      <c r="E126" s="1" t="s">
        <v>33</v>
      </c>
      <c r="F126" s="1" t="s">
        <v>30</v>
      </c>
      <c r="G126" s="1" t="s">
        <v>60</v>
      </c>
      <c r="H126" s="1">
        <v>2</v>
      </c>
      <c r="I126" s="1">
        <v>6</v>
      </c>
      <c r="J126" s="1">
        <v>12</v>
      </c>
      <c r="K126" s="6"/>
      <c r="L126" s="6"/>
      <c r="O126" s="4" t="str">
        <f ca="1">IFERROR(__xludf.DUMMYFUNCTION("TEXTJOIN("","", TRUE, FILTER($E$2:$E1000 &amp; $C$2:$C1000, $A$2:$A1000=A126, $B$2:$B1000=B126, $D$2:$D1000&lt;&gt;D126))"),"탑신현우,정글이진건,미드박상호,원딜이창호,서폿심재현")</f>
        <v>탑신현우,정글이진건,미드박상호,원딜이창호,서폿심재현</v>
      </c>
    </row>
    <row r="127" spans="1:15" ht="12.75" x14ac:dyDescent="0.2">
      <c r="A127" s="7">
        <v>46054</v>
      </c>
      <c r="B127" s="1">
        <v>1</v>
      </c>
      <c r="C127" s="1" t="s">
        <v>49</v>
      </c>
      <c r="D127" s="1" t="str">
        <f t="shared" si="1"/>
        <v>패</v>
      </c>
      <c r="E127" s="1" t="s">
        <v>15</v>
      </c>
      <c r="F127" s="1" t="s">
        <v>16</v>
      </c>
      <c r="G127" s="1" t="s">
        <v>23</v>
      </c>
      <c r="H127" s="1">
        <v>1</v>
      </c>
      <c r="I127" s="1">
        <v>1</v>
      </c>
      <c r="J127" s="1">
        <v>14</v>
      </c>
      <c r="K127" s="6"/>
      <c r="L127" s="6"/>
      <c r="O127" s="4" t="str">
        <f ca="1">IFERROR(__xludf.DUMMYFUNCTION("TEXTJOIN("","", TRUE, FILTER($E$2:$E1000 &amp; $C$2:$C1000, $A$2:$A1000=A127, $B$2:$B1000=B127, $D$2:$D1000&lt;&gt;D127))"),"탑신동혁,정글지범진,미드정용운,원딜김응민,서폿김현수")</f>
        <v>탑신동혁,정글지범진,미드정용운,원딜김응민,서폿김현수</v>
      </c>
    </row>
    <row r="128" spans="1:15" ht="12.75" x14ac:dyDescent="0.2">
      <c r="A128" s="7">
        <v>46054</v>
      </c>
      <c r="B128" s="1">
        <v>1</v>
      </c>
      <c r="C128" s="1" t="s">
        <v>42</v>
      </c>
      <c r="D128" s="1" t="str">
        <f t="shared" si="1"/>
        <v>패</v>
      </c>
      <c r="E128" s="1" t="s">
        <v>15</v>
      </c>
      <c r="F128" s="1" t="s">
        <v>22</v>
      </c>
      <c r="G128" s="1" t="s">
        <v>83</v>
      </c>
      <c r="H128" s="1">
        <v>12</v>
      </c>
      <c r="I128" s="1">
        <v>3</v>
      </c>
      <c r="J128" s="1">
        <v>10</v>
      </c>
      <c r="K128" s="6"/>
      <c r="L128" s="6"/>
      <c r="O128" s="4" t="str">
        <f ca="1">IFERROR(__xludf.DUMMYFUNCTION("TEXTJOIN("","", TRUE, FILTER($E$2:$E1000 &amp; $C$2:$C1000, $A$2:$A1000=A128, $B$2:$B1000=B128, $D$2:$D1000&lt;&gt;D128))"),"탑신동혁,정글지범진,미드정용운,원딜김응민,서폿김현수")</f>
        <v>탑신동혁,정글지범진,미드정용운,원딜김응민,서폿김현수</v>
      </c>
    </row>
    <row r="129" spans="1:15" ht="12.75" x14ac:dyDescent="0.2">
      <c r="A129" s="7">
        <v>46054</v>
      </c>
      <c r="B129" s="1">
        <v>1</v>
      </c>
      <c r="C129" s="1" t="s">
        <v>14</v>
      </c>
      <c r="D129" s="1" t="str">
        <f t="shared" si="1"/>
        <v>승</v>
      </c>
      <c r="E129" s="1" t="s">
        <v>15</v>
      </c>
      <c r="F129" s="1" t="s">
        <v>18</v>
      </c>
      <c r="G129" s="1" t="s">
        <v>82</v>
      </c>
      <c r="H129" s="1">
        <v>7</v>
      </c>
      <c r="I129" s="1">
        <v>2</v>
      </c>
      <c r="J129" s="1">
        <v>14</v>
      </c>
      <c r="K129" s="6"/>
      <c r="L129" s="6"/>
      <c r="O129" s="4" t="str">
        <f ca="1">IFERROR(__xludf.DUMMYFUNCTION("TEXTJOIN("","", TRUE, FILTER($E$2:$E1000 &amp; $C$2:$C1000, $A$2:$A1000=A129, $B$2:$B1000=B129, $D$2:$D1000&lt;&gt;D129))"),"탑신동혁,정글지범진,미드정용운,원딜김응민,서폿김현수")</f>
        <v>탑신동혁,정글지범진,미드정용운,원딜김응민,서폿김현수</v>
      </c>
    </row>
    <row r="130" spans="1:15" ht="12.75" x14ac:dyDescent="0.2">
      <c r="A130" s="7">
        <v>46054</v>
      </c>
      <c r="B130" s="1">
        <v>1</v>
      </c>
      <c r="C130" s="1" t="s">
        <v>38</v>
      </c>
      <c r="D130" s="1" t="str">
        <f t="shared" si="1"/>
        <v>패</v>
      </c>
      <c r="E130" s="1" t="s">
        <v>15</v>
      </c>
      <c r="F130" s="1" t="s">
        <v>28</v>
      </c>
      <c r="G130" s="1" t="s">
        <v>80</v>
      </c>
      <c r="H130" s="1">
        <v>11</v>
      </c>
      <c r="I130" s="1">
        <v>4</v>
      </c>
      <c r="J130" s="1">
        <v>11</v>
      </c>
      <c r="K130" s="6"/>
      <c r="L130" s="6"/>
      <c r="O130" s="4" t="str">
        <f ca="1">IFERROR(__xludf.DUMMYFUNCTION("TEXTJOIN("","", TRUE, FILTER($E$2:$E1000 &amp; $C$2:$C1000, $A$2:$A1000=A130, $B$2:$B1000=B130, $D$2:$D1000&lt;&gt;D130))"),"탑신동혁,정글지범진,미드정용운,원딜김응민,서폿김현수")</f>
        <v>탑신동혁,정글지범진,미드정용운,원딜김응민,서폿김현수</v>
      </c>
    </row>
    <row r="131" spans="1:15" ht="12.75" x14ac:dyDescent="0.2">
      <c r="A131" s="7">
        <v>46054</v>
      </c>
      <c r="B131" s="1">
        <v>1</v>
      </c>
      <c r="C131" s="1" t="s">
        <v>35</v>
      </c>
      <c r="D131" s="1" t="str">
        <f t="shared" ref="D131:D194" si="2">IF(B131=1,IF(COUNTIFS(A:A,A131,C:C,C131,E:E,"승")&gt;COUNTIFS(A:A,A131,C:C,C131,E:E,"패"),"승",IF(COUNTIFS(A:A,A131,C:C,C131,E:E,"승")&lt;COUNTIFS(A:A,A131,C:C,C131,E:E,"패"),"패","무승부")),"")</f>
        <v>패</v>
      </c>
      <c r="E131" s="1" t="s">
        <v>15</v>
      </c>
      <c r="F131" s="1" t="s">
        <v>30</v>
      </c>
      <c r="G131" s="1" t="s">
        <v>96</v>
      </c>
      <c r="H131" s="1">
        <v>3</v>
      </c>
      <c r="I131" s="1">
        <v>7</v>
      </c>
      <c r="J131" s="1">
        <v>23</v>
      </c>
      <c r="K131" s="6"/>
      <c r="L131" s="6"/>
      <c r="O131" s="4" t="str">
        <f ca="1">IFERROR(__xludf.DUMMYFUNCTION("TEXTJOIN("","", TRUE, FILTER($E$2:$E1000 &amp; $C$2:$C1000, $A$2:$A1000=A131, $B$2:$B1000=B131, $D$2:$D1000&lt;&gt;D131))"),"탑신동혁,정글지범진,미드정용운,원딜김응민,서폿김현수")</f>
        <v>탑신동혁,정글지범진,미드정용운,원딜김응민,서폿김현수</v>
      </c>
    </row>
    <row r="132" spans="1:15" ht="12.75" x14ac:dyDescent="0.2">
      <c r="A132" s="7">
        <v>46054</v>
      </c>
      <c r="B132" s="1">
        <v>2</v>
      </c>
      <c r="C132" s="1" t="s">
        <v>25</v>
      </c>
      <c r="D132" s="1" t="str">
        <f t="shared" si="2"/>
        <v/>
      </c>
      <c r="E132" s="1" t="s">
        <v>15</v>
      </c>
      <c r="F132" s="1" t="s">
        <v>16</v>
      </c>
      <c r="G132" s="1" t="s">
        <v>23</v>
      </c>
      <c r="H132" s="1">
        <v>5</v>
      </c>
      <c r="I132" s="1">
        <v>2</v>
      </c>
      <c r="J132" s="1">
        <v>4</v>
      </c>
      <c r="K132" s="2">
        <v>23922</v>
      </c>
      <c r="L132" s="2">
        <v>11201</v>
      </c>
      <c r="O132" s="4" t="str">
        <f ca="1">IFERROR(__xludf.DUMMYFUNCTION("TEXTJOIN("","", TRUE, FILTER($E$2:$E1000 &amp; $C$2:$C1000, $A$2:$A1000=A132, $B$2:$B1000=B132, $D$2:$D1000&lt;&gt;D132))"),"탑신현우,정글이진건,미드정용운,원딜이창호,서폿심재현")</f>
        <v>탑신현우,정글이진건,미드정용운,원딜이창호,서폿심재현</v>
      </c>
    </row>
    <row r="133" spans="1:15" ht="12.75" x14ac:dyDescent="0.2">
      <c r="A133" s="7">
        <v>46054</v>
      </c>
      <c r="B133" s="1">
        <v>2</v>
      </c>
      <c r="C133" s="1" t="s">
        <v>21</v>
      </c>
      <c r="D133" s="1" t="str">
        <f t="shared" si="2"/>
        <v/>
      </c>
      <c r="E133" s="1" t="s">
        <v>15</v>
      </c>
      <c r="F133" s="1" t="s">
        <v>22</v>
      </c>
      <c r="G133" s="1" t="s">
        <v>97</v>
      </c>
      <c r="H133" s="1">
        <v>5</v>
      </c>
      <c r="I133" s="1">
        <v>4</v>
      </c>
      <c r="J133" s="1">
        <v>13</v>
      </c>
      <c r="K133" s="2">
        <v>23038</v>
      </c>
      <c r="L133" s="2">
        <v>13715</v>
      </c>
      <c r="O133" s="4" t="str">
        <f ca="1">IFERROR(__xludf.DUMMYFUNCTION("TEXTJOIN("","", TRUE, FILTER($E$2:$E1000 &amp; $C$2:$C1000, $A$2:$A1000=A133, $B$2:$B1000=B133, $D$2:$D1000&lt;&gt;D133))"),"탑신현우,정글이진건,미드정용운,원딜이창호,서폿심재현")</f>
        <v>탑신현우,정글이진건,미드정용운,원딜이창호,서폿심재현</v>
      </c>
    </row>
    <row r="134" spans="1:15" ht="12.75" x14ac:dyDescent="0.2">
      <c r="A134" s="7">
        <v>46054</v>
      </c>
      <c r="B134" s="1">
        <v>2</v>
      </c>
      <c r="C134" s="1" t="s">
        <v>14</v>
      </c>
      <c r="D134" s="1" t="str">
        <f t="shared" si="2"/>
        <v/>
      </c>
      <c r="E134" s="1" t="s">
        <v>15</v>
      </c>
      <c r="F134" s="1" t="s">
        <v>18</v>
      </c>
      <c r="G134" s="1" t="s">
        <v>62</v>
      </c>
      <c r="H134" s="1">
        <v>2</v>
      </c>
      <c r="I134" s="1">
        <v>3</v>
      </c>
      <c r="J134" s="1">
        <v>9</v>
      </c>
      <c r="K134" s="2">
        <v>21614</v>
      </c>
      <c r="L134" s="2">
        <v>12162</v>
      </c>
      <c r="O134" s="4" t="str">
        <f ca="1">IFERROR(__xludf.DUMMYFUNCTION("TEXTJOIN("","", TRUE, FILTER($E$2:$E1000 &amp; $C$2:$C1000, $A$2:$A1000=A134, $B$2:$B1000=B134, $D$2:$D1000&lt;&gt;D134))"),"탑신현우,정글이진건,미드정용운,원딜이창호,서폿심재현")</f>
        <v>탑신현우,정글이진건,미드정용운,원딜이창호,서폿심재현</v>
      </c>
    </row>
    <row r="135" spans="1:15" ht="12.75" x14ac:dyDescent="0.2">
      <c r="A135" s="7">
        <v>46054</v>
      </c>
      <c r="B135" s="1">
        <v>2</v>
      </c>
      <c r="C135" s="1" t="s">
        <v>37</v>
      </c>
      <c r="D135" s="1" t="str">
        <f t="shared" si="2"/>
        <v/>
      </c>
      <c r="E135" s="1" t="s">
        <v>15</v>
      </c>
      <c r="F135" s="1" t="s">
        <v>28</v>
      </c>
      <c r="G135" s="1" t="s">
        <v>46</v>
      </c>
      <c r="H135" s="1">
        <v>12</v>
      </c>
      <c r="I135" s="1">
        <v>4</v>
      </c>
      <c r="J135" s="1">
        <v>5</v>
      </c>
      <c r="K135" s="2">
        <v>36464</v>
      </c>
      <c r="L135" s="2">
        <v>15889</v>
      </c>
      <c r="O135" s="4" t="str">
        <f ca="1">IFERROR(__xludf.DUMMYFUNCTION("TEXTJOIN("","", TRUE, FILTER($E$2:$E1000 &amp; $C$2:$C1000, $A$2:$A1000=A135, $B$2:$B1000=B135, $D$2:$D1000&lt;&gt;D135))"),"탑신현우,정글이진건,미드정용운,원딜이창호,서폿심재현")</f>
        <v>탑신현우,정글이진건,미드정용운,원딜이창호,서폿심재현</v>
      </c>
    </row>
    <row r="136" spans="1:15" ht="12.75" x14ac:dyDescent="0.2">
      <c r="A136" s="7">
        <v>46054</v>
      </c>
      <c r="B136" s="1">
        <v>2</v>
      </c>
      <c r="C136" s="1" t="s">
        <v>40</v>
      </c>
      <c r="D136" s="1" t="str">
        <f t="shared" si="2"/>
        <v/>
      </c>
      <c r="E136" s="1" t="s">
        <v>15</v>
      </c>
      <c r="F136" s="1" t="s">
        <v>30</v>
      </c>
      <c r="G136" s="1" t="s">
        <v>57</v>
      </c>
      <c r="H136" s="1">
        <v>5</v>
      </c>
      <c r="I136" s="1">
        <v>4</v>
      </c>
      <c r="J136" s="1">
        <v>11</v>
      </c>
      <c r="K136" s="2">
        <v>13581</v>
      </c>
      <c r="L136" s="2">
        <v>99336</v>
      </c>
      <c r="O136" s="4" t="str">
        <f ca="1">IFERROR(__xludf.DUMMYFUNCTION("TEXTJOIN("","", TRUE, FILTER($E$2:$E1000 &amp; $C$2:$C1000, $A$2:$A1000=A136, $B$2:$B1000=B136, $D$2:$D1000&lt;&gt;D136))"),"탑신현우,정글이진건,미드정용운,원딜이창호,서폿심재현")</f>
        <v>탑신현우,정글이진건,미드정용운,원딜이창호,서폿심재현</v>
      </c>
    </row>
    <row r="137" spans="1:15" ht="12.75" x14ac:dyDescent="0.2">
      <c r="A137" s="7">
        <v>46054</v>
      </c>
      <c r="B137" s="1">
        <v>2</v>
      </c>
      <c r="C137" s="1" t="s">
        <v>49</v>
      </c>
      <c r="D137" s="1" t="str">
        <f t="shared" si="2"/>
        <v/>
      </c>
      <c r="E137" s="1" t="s">
        <v>33</v>
      </c>
      <c r="F137" s="1" t="s">
        <v>16</v>
      </c>
      <c r="G137" s="1" t="s">
        <v>34</v>
      </c>
      <c r="H137" s="1">
        <v>2</v>
      </c>
      <c r="I137" s="1">
        <v>7</v>
      </c>
      <c r="J137" s="1">
        <v>3</v>
      </c>
      <c r="K137" s="2">
        <v>23220</v>
      </c>
      <c r="L137" s="2">
        <v>10916</v>
      </c>
      <c r="O137" s="4" t="str">
        <f ca="1">IFERROR(__xludf.DUMMYFUNCTION("TEXTJOIN("","", TRUE, FILTER($E$2:$E1000 &amp; $C$2:$C1000, $A$2:$A1000=A137, $B$2:$B1000=B137, $D$2:$D1000&lt;&gt;D137))"),"탑신동혁,정글지범진,미드박상호,원딜김응민,서폿김현수")</f>
        <v>탑신동혁,정글지범진,미드박상호,원딜김응민,서폿김현수</v>
      </c>
    </row>
    <row r="138" spans="1:15" ht="12.75" x14ac:dyDescent="0.2">
      <c r="A138" s="7">
        <v>46054</v>
      </c>
      <c r="B138" s="1">
        <v>2</v>
      </c>
      <c r="C138" s="1" t="s">
        <v>42</v>
      </c>
      <c r="D138" s="1" t="str">
        <f t="shared" si="2"/>
        <v/>
      </c>
      <c r="E138" s="1" t="s">
        <v>33</v>
      </c>
      <c r="F138" s="1" t="s">
        <v>22</v>
      </c>
      <c r="G138" s="1" t="s">
        <v>60</v>
      </c>
      <c r="H138" s="1">
        <v>2</v>
      </c>
      <c r="I138" s="1">
        <v>6</v>
      </c>
      <c r="J138" s="1">
        <v>9</v>
      </c>
      <c r="K138" s="2">
        <v>14401</v>
      </c>
      <c r="L138" s="2">
        <v>11737</v>
      </c>
      <c r="O138" s="4" t="str">
        <f ca="1">IFERROR(__xludf.DUMMYFUNCTION("TEXTJOIN("","", TRUE, FILTER($E$2:$E1000 &amp; $C$2:$C1000, $A$2:$A1000=A138, $B$2:$B1000=B138, $D$2:$D1000&lt;&gt;D138))"),"탑신동혁,정글지범진,미드박상호,원딜김응민,서폿김현수")</f>
        <v>탑신동혁,정글지범진,미드박상호,원딜김응민,서폿김현수</v>
      </c>
    </row>
    <row r="139" spans="1:15" ht="12.75" x14ac:dyDescent="0.2">
      <c r="A139" s="7">
        <v>46054</v>
      </c>
      <c r="B139" s="1">
        <v>2</v>
      </c>
      <c r="C139" s="1" t="s">
        <v>27</v>
      </c>
      <c r="D139" s="1" t="str">
        <f t="shared" si="2"/>
        <v/>
      </c>
      <c r="E139" s="1" t="s">
        <v>33</v>
      </c>
      <c r="F139" s="1" t="s">
        <v>18</v>
      </c>
      <c r="G139" s="1" t="s">
        <v>24</v>
      </c>
      <c r="H139" s="1">
        <v>3</v>
      </c>
      <c r="I139" s="1">
        <v>4</v>
      </c>
      <c r="J139" s="1">
        <v>9</v>
      </c>
      <c r="K139" s="2">
        <v>28055</v>
      </c>
      <c r="L139" s="2">
        <v>11999</v>
      </c>
      <c r="O139" s="4" t="str">
        <f ca="1">IFERROR(__xludf.DUMMYFUNCTION("TEXTJOIN("","", TRUE, FILTER($E$2:$E1000 &amp; $C$2:$C1000, $A$2:$A1000=A139, $B$2:$B1000=B139, $D$2:$D1000&lt;&gt;D139))"),"탑신동혁,정글지범진,미드박상호,원딜김응민,서폿김현수")</f>
        <v>탑신동혁,정글지범진,미드박상호,원딜김응민,서폿김현수</v>
      </c>
    </row>
    <row r="140" spans="1:15" ht="12.75" x14ac:dyDescent="0.2">
      <c r="A140" s="7">
        <v>46054</v>
      </c>
      <c r="B140" s="1">
        <v>2</v>
      </c>
      <c r="C140" s="1" t="s">
        <v>38</v>
      </c>
      <c r="D140" s="1" t="str">
        <f t="shared" si="2"/>
        <v/>
      </c>
      <c r="E140" s="1" t="s">
        <v>33</v>
      </c>
      <c r="F140" s="1" t="s">
        <v>28</v>
      </c>
      <c r="G140" s="1" t="s">
        <v>92</v>
      </c>
      <c r="H140" s="1">
        <v>5</v>
      </c>
      <c r="I140" s="1">
        <v>8</v>
      </c>
      <c r="J140" s="1">
        <v>4</v>
      </c>
      <c r="K140" s="2">
        <v>13903</v>
      </c>
      <c r="L140" s="2">
        <v>13577</v>
      </c>
      <c r="O140" s="4" t="str">
        <f ca="1">IFERROR(__xludf.DUMMYFUNCTION("TEXTJOIN("","", TRUE, FILTER($E$2:$E1000 &amp; $C$2:$C1000, $A$2:$A1000=A140, $B$2:$B1000=B140, $D$2:$D1000&lt;&gt;D140))"),"탑신동혁,정글지범진,미드박상호,원딜김응민,서폿김현수")</f>
        <v>탑신동혁,정글지범진,미드박상호,원딜김응민,서폿김현수</v>
      </c>
    </row>
    <row r="141" spans="1:15" ht="12.75" x14ac:dyDescent="0.2">
      <c r="A141" s="7">
        <v>46054</v>
      </c>
      <c r="B141" s="1">
        <v>2</v>
      </c>
      <c r="C141" s="1" t="s">
        <v>35</v>
      </c>
      <c r="D141" s="1" t="str">
        <f t="shared" si="2"/>
        <v/>
      </c>
      <c r="E141" s="1" t="s">
        <v>33</v>
      </c>
      <c r="F141" s="1" t="s">
        <v>30</v>
      </c>
      <c r="G141" s="1" t="s">
        <v>98</v>
      </c>
      <c r="H141" s="1">
        <v>5</v>
      </c>
      <c r="I141" s="1">
        <v>4</v>
      </c>
      <c r="J141" s="1">
        <v>10</v>
      </c>
      <c r="K141" s="2">
        <v>16267</v>
      </c>
      <c r="L141" s="2">
        <v>10173</v>
      </c>
      <c r="O141" s="4" t="str">
        <f ca="1">IFERROR(__xludf.DUMMYFUNCTION("TEXTJOIN("","", TRUE, FILTER($E$2:$E1000 &amp; $C$2:$C1000, $A$2:$A1000=A141, $B$2:$B1000=B141, $D$2:$D1000&lt;&gt;D141))"),"탑신동혁,정글지범진,미드박상호,원딜김응민,서폿김현수")</f>
        <v>탑신동혁,정글지범진,미드박상호,원딜김응민,서폿김현수</v>
      </c>
    </row>
    <row r="142" spans="1:15" ht="12.75" x14ac:dyDescent="0.2">
      <c r="A142" s="7">
        <v>46054</v>
      </c>
      <c r="B142" s="1">
        <v>3</v>
      </c>
      <c r="C142" s="1" t="s">
        <v>25</v>
      </c>
      <c r="D142" s="1" t="str">
        <f t="shared" si="2"/>
        <v/>
      </c>
      <c r="E142" s="1" t="s">
        <v>15</v>
      </c>
      <c r="F142" s="1" t="s">
        <v>16</v>
      </c>
      <c r="G142" s="1" t="s">
        <v>99</v>
      </c>
      <c r="H142" s="1">
        <v>5</v>
      </c>
      <c r="I142" s="1">
        <v>2</v>
      </c>
      <c r="J142" s="1">
        <v>1</v>
      </c>
      <c r="K142" s="2">
        <v>12054</v>
      </c>
      <c r="L142" s="2">
        <v>6384</v>
      </c>
      <c r="O142" s="4" t="str">
        <f ca="1">IFERROR(__xludf.DUMMYFUNCTION("TEXTJOIN("","", TRUE, FILTER($E$2:$E1000 &amp; $C$2:$C1000, $A$2:$A1000=A142, $B$2:$B1000=B142, $D$2:$D1000&lt;&gt;D142))"),"탑신현우,정글이진건,미드정용운,원딜이창호,서폿심재현")</f>
        <v>탑신현우,정글이진건,미드정용운,원딜이창호,서폿심재현</v>
      </c>
    </row>
    <row r="143" spans="1:15" ht="12.75" x14ac:dyDescent="0.2">
      <c r="A143" s="7">
        <v>46054</v>
      </c>
      <c r="B143" s="1">
        <v>3</v>
      </c>
      <c r="C143" s="1" t="s">
        <v>21</v>
      </c>
      <c r="D143" s="1" t="str">
        <f t="shared" si="2"/>
        <v/>
      </c>
      <c r="E143" s="1" t="s">
        <v>15</v>
      </c>
      <c r="F143" s="1" t="s">
        <v>22</v>
      </c>
      <c r="G143" s="1" t="s">
        <v>34</v>
      </c>
      <c r="H143" s="1">
        <v>2</v>
      </c>
      <c r="I143" s="1">
        <v>0</v>
      </c>
      <c r="J143" s="1">
        <v>6</v>
      </c>
      <c r="K143" s="2">
        <v>4176</v>
      </c>
      <c r="L143" s="2">
        <v>6383</v>
      </c>
      <c r="O143" s="4" t="str">
        <f ca="1">IFERROR(__xludf.DUMMYFUNCTION("TEXTJOIN("","", TRUE, FILTER($E$2:$E1000 &amp; $C$2:$C1000, $A$2:$A1000=A143, $B$2:$B1000=B143, $D$2:$D1000&lt;&gt;D143))"),"탑신현우,정글이진건,미드정용운,원딜이창호,서폿심재현")</f>
        <v>탑신현우,정글이진건,미드정용운,원딜이창호,서폿심재현</v>
      </c>
    </row>
    <row r="144" spans="1:15" ht="12.75" x14ac:dyDescent="0.2">
      <c r="A144" s="7">
        <v>46054</v>
      </c>
      <c r="B144" s="1">
        <v>3</v>
      </c>
      <c r="C144" s="1" t="s">
        <v>14</v>
      </c>
      <c r="D144" s="1" t="str">
        <f t="shared" si="2"/>
        <v/>
      </c>
      <c r="E144" s="1" t="s">
        <v>15</v>
      </c>
      <c r="F144" s="1" t="s">
        <v>18</v>
      </c>
      <c r="G144" s="1" t="s">
        <v>82</v>
      </c>
      <c r="H144" s="1">
        <v>4</v>
      </c>
      <c r="I144" s="1">
        <v>1</v>
      </c>
      <c r="J144" s="1">
        <v>3</v>
      </c>
      <c r="K144" s="2">
        <v>8740</v>
      </c>
      <c r="L144" s="2">
        <v>6878</v>
      </c>
      <c r="O144" s="4" t="str">
        <f ca="1">IFERROR(__xludf.DUMMYFUNCTION("TEXTJOIN("","", TRUE, FILTER($E$2:$E1000 &amp; $C$2:$C1000, $A$2:$A1000=A144, $B$2:$B1000=B144, $D$2:$D1000&lt;&gt;D144))"),"탑신현우,정글이진건,미드정용운,원딜이창호,서폿심재현")</f>
        <v>탑신현우,정글이진건,미드정용운,원딜이창호,서폿심재현</v>
      </c>
    </row>
    <row r="145" spans="1:15" ht="12.75" x14ac:dyDescent="0.2">
      <c r="A145" s="7">
        <v>46054</v>
      </c>
      <c r="B145" s="1">
        <v>3</v>
      </c>
      <c r="C145" s="1" t="s">
        <v>37</v>
      </c>
      <c r="D145" s="1" t="str">
        <f t="shared" si="2"/>
        <v/>
      </c>
      <c r="E145" s="1" t="s">
        <v>15</v>
      </c>
      <c r="F145" s="1" t="s">
        <v>28</v>
      </c>
      <c r="G145" s="1" t="s">
        <v>92</v>
      </c>
      <c r="H145" s="1">
        <v>7</v>
      </c>
      <c r="I145" s="1">
        <v>2</v>
      </c>
      <c r="J145" s="1">
        <v>7</v>
      </c>
      <c r="K145" s="2">
        <v>10759</v>
      </c>
      <c r="L145" s="2">
        <v>7826</v>
      </c>
      <c r="O145" s="4" t="str">
        <f ca="1">IFERROR(__xludf.DUMMYFUNCTION("TEXTJOIN("","", TRUE, FILTER($E$2:$E1000 &amp; $C$2:$C1000, $A$2:$A1000=A145, $B$2:$B1000=B145, $D$2:$D1000&lt;&gt;D145))"),"탑신현우,정글이진건,미드정용운,원딜이창호,서폿심재현")</f>
        <v>탑신현우,정글이진건,미드정용운,원딜이창호,서폿심재현</v>
      </c>
    </row>
    <row r="146" spans="1:15" ht="12.75" x14ac:dyDescent="0.2">
      <c r="A146" s="7">
        <v>46054</v>
      </c>
      <c r="B146" s="1">
        <v>3</v>
      </c>
      <c r="C146" s="1" t="s">
        <v>40</v>
      </c>
      <c r="D146" s="1" t="str">
        <f t="shared" si="2"/>
        <v/>
      </c>
      <c r="E146" s="1" t="s">
        <v>15</v>
      </c>
      <c r="F146" s="1" t="s">
        <v>30</v>
      </c>
      <c r="G146" s="1" t="s">
        <v>60</v>
      </c>
      <c r="H146" s="1">
        <v>9</v>
      </c>
      <c r="I146" s="1">
        <v>1</v>
      </c>
      <c r="J146" s="1">
        <v>9</v>
      </c>
      <c r="K146" s="2">
        <v>10805</v>
      </c>
      <c r="L146" s="2">
        <v>7400</v>
      </c>
      <c r="O146" s="4" t="str">
        <f ca="1">IFERROR(__xludf.DUMMYFUNCTION("TEXTJOIN("","", TRUE, FILTER($E$2:$E1000 &amp; $C$2:$C1000, $A$2:$A1000=A146, $B$2:$B1000=B146, $D$2:$D1000&lt;&gt;D146))"),"탑신현우,정글이진건,미드정용운,원딜이창호,서폿심재현")</f>
        <v>탑신현우,정글이진건,미드정용운,원딜이창호,서폿심재현</v>
      </c>
    </row>
    <row r="147" spans="1:15" ht="12.75" x14ac:dyDescent="0.2">
      <c r="A147" s="7">
        <v>46054</v>
      </c>
      <c r="B147" s="1">
        <v>3</v>
      </c>
      <c r="C147" s="1" t="s">
        <v>49</v>
      </c>
      <c r="D147" s="1" t="str">
        <f t="shared" si="2"/>
        <v/>
      </c>
      <c r="E147" s="1" t="s">
        <v>33</v>
      </c>
      <c r="F147" s="1" t="s">
        <v>16</v>
      </c>
      <c r="G147" s="1" t="s">
        <v>71</v>
      </c>
      <c r="H147" s="1">
        <v>2</v>
      </c>
      <c r="I147" s="1">
        <v>2</v>
      </c>
      <c r="J147" s="1">
        <v>0</v>
      </c>
      <c r="K147" s="2">
        <v>4341</v>
      </c>
      <c r="L147" s="2">
        <v>5506</v>
      </c>
      <c r="O147" s="4" t="str">
        <f ca="1">IFERROR(__xludf.DUMMYFUNCTION("TEXTJOIN("","", TRUE, FILTER($E$2:$E1000 &amp; $C$2:$C1000, $A$2:$A1000=A147, $B$2:$B1000=B147, $D$2:$D1000&lt;&gt;D147))"),"탑신동혁,정글지범진,미드박상호,원딜김응민,서폿김현수")</f>
        <v>탑신동혁,정글지범진,미드박상호,원딜김응민,서폿김현수</v>
      </c>
    </row>
    <row r="148" spans="1:15" ht="12.75" x14ac:dyDescent="0.2">
      <c r="A148" s="7">
        <v>46054</v>
      </c>
      <c r="B148" s="1">
        <v>3</v>
      </c>
      <c r="C148" s="1" t="s">
        <v>42</v>
      </c>
      <c r="D148" s="1" t="str">
        <f t="shared" si="2"/>
        <v/>
      </c>
      <c r="E148" s="1" t="s">
        <v>33</v>
      </c>
      <c r="F148" s="1" t="s">
        <v>22</v>
      </c>
      <c r="G148" s="1" t="s">
        <v>83</v>
      </c>
      <c r="H148" s="1">
        <v>0</v>
      </c>
      <c r="I148" s="1">
        <v>4</v>
      </c>
      <c r="J148" s="1">
        <v>2</v>
      </c>
      <c r="K148" s="2">
        <v>4684</v>
      </c>
      <c r="L148" s="2">
        <v>4943</v>
      </c>
      <c r="O148" s="4" t="str">
        <f ca="1">IFERROR(__xludf.DUMMYFUNCTION("TEXTJOIN("","", TRUE, FILTER($E$2:$E1000 &amp; $C$2:$C1000, $A$2:$A1000=A148, $B$2:$B1000=B148, $D$2:$D1000&lt;&gt;D148))"),"탑신동혁,정글지범진,미드박상호,원딜김응민,서폿김현수")</f>
        <v>탑신동혁,정글지범진,미드박상호,원딜김응민,서폿김현수</v>
      </c>
    </row>
    <row r="149" spans="1:15" ht="12.75" x14ac:dyDescent="0.2">
      <c r="A149" s="7">
        <v>46054</v>
      </c>
      <c r="B149" s="1">
        <v>3</v>
      </c>
      <c r="C149" s="1" t="s">
        <v>27</v>
      </c>
      <c r="D149" s="1" t="str">
        <f t="shared" si="2"/>
        <v/>
      </c>
      <c r="E149" s="1" t="s">
        <v>33</v>
      </c>
      <c r="F149" s="1" t="s">
        <v>18</v>
      </c>
      <c r="G149" s="1" t="s">
        <v>63</v>
      </c>
      <c r="H149" s="1">
        <v>1</v>
      </c>
      <c r="I149" s="1">
        <v>3</v>
      </c>
      <c r="J149" s="1">
        <v>1</v>
      </c>
      <c r="K149" s="2">
        <v>7667</v>
      </c>
      <c r="L149" s="2">
        <v>5340</v>
      </c>
      <c r="O149" s="4" t="str">
        <f ca="1">IFERROR(__xludf.DUMMYFUNCTION("TEXTJOIN("","", TRUE, FILTER($E$2:$E1000 &amp; $C$2:$C1000, $A$2:$A1000=A149, $B$2:$B1000=B149, $D$2:$D1000&lt;&gt;D149))"),"탑신동혁,정글지범진,미드박상호,원딜김응민,서폿김현수")</f>
        <v>탑신동혁,정글지범진,미드박상호,원딜김응민,서폿김현수</v>
      </c>
    </row>
    <row r="150" spans="1:15" ht="12.75" x14ac:dyDescent="0.2">
      <c r="A150" s="7">
        <v>46054</v>
      </c>
      <c r="B150" s="1">
        <v>3</v>
      </c>
      <c r="C150" s="1" t="s">
        <v>38</v>
      </c>
      <c r="D150" s="1" t="str">
        <f t="shared" si="2"/>
        <v/>
      </c>
      <c r="E150" s="1" t="s">
        <v>33</v>
      </c>
      <c r="F150" s="1" t="s">
        <v>28</v>
      </c>
      <c r="G150" s="1" t="s">
        <v>59</v>
      </c>
      <c r="H150" s="1">
        <v>1</v>
      </c>
      <c r="I150" s="1">
        <v>9</v>
      </c>
      <c r="J150" s="1">
        <v>2</v>
      </c>
      <c r="K150" s="2">
        <v>9872</v>
      </c>
      <c r="L150" s="2">
        <v>5350</v>
      </c>
      <c r="O150" s="4" t="str">
        <f ca="1">IFERROR(__xludf.DUMMYFUNCTION("TEXTJOIN("","", TRUE, FILTER($E$2:$E1000 &amp; $C$2:$C1000, $A$2:$A1000=A150, $B$2:$B1000=B150, $D$2:$D1000&lt;&gt;D150))"),"탑신동혁,정글지범진,미드박상호,원딜김응민,서폿김현수")</f>
        <v>탑신동혁,정글지범진,미드박상호,원딜김응민,서폿김현수</v>
      </c>
    </row>
    <row r="151" spans="1:15" ht="12.75" x14ac:dyDescent="0.2">
      <c r="A151" s="7">
        <v>46054</v>
      </c>
      <c r="B151" s="1">
        <v>3</v>
      </c>
      <c r="C151" s="1" t="s">
        <v>35</v>
      </c>
      <c r="D151" s="1" t="str">
        <f t="shared" si="2"/>
        <v/>
      </c>
      <c r="E151" s="1" t="s">
        <v>33</v>
      </c>
      <c r="F151" s="1" t="s">
        <v>30</v>
      </c>
      <c r="G151" s="1" t="s">
        <v>48</v>
      </c>
      <c r="H151" s="1">
        <v>2</v>
      </c>
      <c r="I151" s="1">
        <v>9</v>
      </c>
      <c r="J151" s="1">
        <v>1</v>
      </c>
      <c r="K151" s="2">
        <v>8850</v>
      </c>
      <c r="L151" s="2">
        <v>5118</v>
      </c>
      <c r="O151" s="4" t="str">
        <f ca="1">IFERROR(__xludf.DUMMYFUNCTION("TEXTJOIN("","", TRUE, FILTER($E$2:$E1000 &amp; $C$2:$C1000, $A$2:$A1000=A151, $B$2:$B1000=B151, $D$2:$D1000&lt;&gt;D151))"),"탑신동혁,정글지범진,미드박상호,원딜김응민,서폿김현수")</f>
        <v>탑신동혁,정글지범진,미드박상호,원딜김응민,서폿김현수</v>
      </c>
    </row>
    <row r="152" spans="1:15" ht="12.75" x14ac:dyDescent="0.2">
      <c r="A152" s="7">
        <v>46096</v>
      </c>
      <c r="B152" s="1">
        <v>1</v>
      </c>
      <c r="C152" s="1" t="s">
        <v>37</v>
      </c>
      <c r="D152" s="1" t="str">
        <f t="shared" si="2"/>
        <v>승</v>
      </c>
      <c r="E152" s="1" t="s">
        <v>15</v>
      </c>
      <c r="F152" s="1" t="s">
        <v>16</v>
      </c>
      <c r="G152" s="1" t="s">
        <v>100</v>
      </c>
      <c r="H152" s="1">
        <v>9</v>
      </c>
      <c r="I152" s="1">
        <v>6</v>
      </c>
      <c r="J152" s="1">
        <v>15</v>
      </c>
      <c r="K152" s="2">
        <v>33358</v>
      </c>
      <c r="L152" s="2">
        <v>16462</v>
      </c>
      <c r="O152" s="4" t="str">
        <f ca="1">IFERROR(__xludf.DUMMYFUNCTION("TEXTJOIN("","", TRUE, FILTER($E$2:$E1000 &amp; $C$2:$C1000, $A$2:$A1000=A152, $B$2:$B1000=B152, $D$2:$D1000&lt;&gt;D152))"),"탑임성빈,정글이진건,미드정용운,원딜이창호,서폿이세환")</f>
        <v>탑임성빈,정글이진건,미드정용운,원딜이창호,서폿이세환</v>
      </c>
    </row>
    <row r="153" spans="1:15" ht="12.75" x14ac:dyDescent="0.2">
      <c r="A153" s="7">
        <v>46096</v>
      </c>
      <c r="B153" s="1">
        <v>1</v>
      </c>
      <c r="C153" s="1" t="s">
        <v>21</v>
      </c>
      <c r="D153" s="1" t="str">
        <f t="shared" si="2"/>
        <v>승</v>
      </c>
      <c r="E153" s="1" t="s">
        <v>15</v>
      </c>
      <c r="F153" s="1" t="s">
        <v>22</v>
      </c>
      <c r="G153" s="1" t="s">
        <v>66</v>
      </c>
      <c r="H153" s="1">
        <v>5</v>
      </c>
      <c r="I153" s="1">
        <v>2</v>
      </c>
      <c r="J153" s="1">
        <v>22</v>
      </c>
      <c r="K153" s="2">
        <v>19621</v>
      </c>
      <c r="L153" s="2">
        <v>14209</v>
      </c>
      <c r="O153" s="4" t="str">
        <f ca="1">IFERROR(__xludf.DUMMYFUNCTION("TEXTJOIN("","", TRUE, FILTER($E$2:$E1000 &amp; $C$2:$C1000, $A$2:$A1000=A153, $B$2:$B1000=B153, $D$2:$D1000&lt;&gt;D153))"),"탑임성빈,정글이진건,미드정용운,원딜이창호,서폿이세환")</f>
        <v>탑임성빈,정글이진건,미드정용운,원딜이창호,서폿이세환</v>
      </c>
    </row>
    <row r="154" spans="1:15" ht="12.75" x14ac:dyDescent="0.2">
      <c r="A154" s="7">
        <v>46096</v>
      </c>
      <c r="B154" s="1">
        <v>1</v>
      </c>
      <c r="C154" s="1" t="s">
        <v>14</v>
      </c>
      <c r="D154" s="1" t="str">
        <f t="shared" si="2"/>
        <v>승</v>
      </c>
      <c r="E154" s="1" t="s">
        <v>15</v>
      </c>
      <c r="F154" s="1" t="s">
        <v>18</v>
      </c>
      <c r="G154" s="1" t="s">
        <v>24</v>
      </c>
      <c r="H154" s="1">
        <v>12</v>
      </c>
      <c r="I154" s="1">
        <v>3</v>
      </c>
      <c r="J154" s="1">
        <v>8</v>
      </c>
      <c r="K154" s="2">
        <v>36202</v>
      </c>
      <c r="L154" s="2">
        <v>17709</v>
      </c>
      <c r="O154" s="4" t="str">
        <f ca="1">IFERROR(__xludf.DUMMYFUNCTION("TEXTJOIN("","", TRUE, FILTER($E$2:$E1000 &amp; $C$2:$C1000, $A$2:$A1000=A154, $B$2:$B1000=B154, $D$2:$D1000&lt;&gt;D154))"),"탑임성빈,정글이진건,미드정용운,원딜이창호,서폿이세환")</f>
        <v>탑임성빈,정글이진건,미드정용운,원딜이창호,서폿이세환</v>
      </c>
    </row>
    <row r="155" spans="1:15" ht="12.75" x14ac:dyDescent="0.2">
      <c r="A155" s="7">
        <v>46096</v>
      </c>
      <c r="B155" s="1">
        <v>1</v>
      </c>
      <c r="C155" s="1" t="s">
        <v>51</v>
      </c>
      <c r="D155" s="1" t="str">
        <f t="shared" si="2"/>
        <v>승</v>
      </c>
      <c r="E155" s="1" t="s">
        <v>15</v>
      </c>
      <c r="F155" s="1" t="s">
        <v>28</v>
      </c>
      <c r="G155" s="1" t="s">
        <v>84</v>
      </c>
      <c r="H155" s="1">
        <v>14</v>
      </c>
      <c r="I155" s="1">
        <v>6</v>
      </c>
      <c r="J155" s="1">
        <v>11</v>
      </c>
      <c r="K155" s="2">
        <v>44801</v>
      </c>
      <c r="L155" s="2">
        <v>17881</v>
      </c>
      <c r="O155" s="4" t="str">
        <f ca="1">IFERROR(__xludf.DUMMYFUNCTION("TEXTJOIN("","", TRUE, FILTER($E$2:$E1000 &amp; $C$2:$C1000, $A$2:$A1000=A155, $B$2:$B1000=B155, $D$2:$D1000&lt;&gt;D155))"),"탑임성빈,정글이진건,미드정용운,원딜이창호,서폿이세환")</f>
        <v>탑임성빈,정글이진건,미드정용운,원딜이창호,서폿이세환</v>
      </c>
    </row>
    <row r="156" spans="1:15" ht="12.75" x14ac:dyDescent="0.2">
      <c r="A156" s="7">
        <v>46096</v>
      </c>
      <c r="B156" s="1">
        <v>1</v>
      </c>
      <c r="C156" s="1" t="s">
        <v>49</v>
      </c>
      <c r="D156" s="1" t="str">
        <f t="shared" si="2"/>
        <v>승</v>
      </c>
      <c r="E156" s="1" t="s">
        <v>15</v>
      </c>
      <c r="F156" s="1" t="s">
        <v>30</v>
      </c>
      <c r="G156" s="1" t="s">
        <v>65</v>
      </c>
      <c r="H156" s="1">
        <v>0</v>
      </c>
      <c r="I156" s="1">
        <v>5</v>
      </c>
      <c r="J156" s="1">
        <v>21</v>
      </c>
      <c r="K156" s="2">
        <v>7262</v>
      </c>
      <c r="L156" s="2">
        <v>10064</v>
      </c>
      <c r="O156" s="4" t="str">
        <f ca="1">IFERROR(__xludf.DUMMYFUNCTION("TEXTJOIN("","", TRUE, FILTER($E$2:$E1000 &amp; $C$2:$C1000, $A$2:$A1000=A156, $B$2:$B1000=B156, $D$2:$D1000&lt;&gt;D156))"),"탑임성빈,정글이진건,미드정용운,원딜이창호,서폿이세환")</f>
        <v>탑임성빈,정글이진건,미드정용운,원딜이창호,서폿이세환</v>
      </c>
    </row>
    <row r="157" spans="1:15" ht="12.75" x14ac:dyDescent="0.2">
      <c r="A157" s="7">
        <v>46096</v>
      </c>
      <c r="B157" s="1">
        <v>1</v>
      </c>
      <c r="C157" s="1" t="s">
        <v>32</v>
      </c>
      <c r="D157" s="1" t="str">
        <f t="shared" si="2"/>
        <v>패</v>
      </c>
      <c r="E157" s="1" t="s">
        <v>33</v>
      </c>
      <c r="F157" s="1" t="s">
        <v>16</v>
      </c>
      <c r="G157" s="1" t="s">
        <v>101</v>
      </c>
      <c r="H157" s="1">
        <v>2</v>
      </c>
      <c r="I157" s="1">
        <v>7</v>
      </c>
      <c r="J157" s="1">
        <v>3</v>
      </c>
      <c r="K157" s="2">
        <v>16171</v>
      </c>
      <c r="L157" s="2">
        <v>12254</v>
      </c>
      <c r="O157" s="4" t="str">
        <f ca="1">IFERROR(__xludf.DUMMYFUNCTION("TEXTJOIN("","", TRUE, FILTER($E$2:$E1000 &amp; $C$2:$C1000, $A$2:$A1000=A157, $B$2:$B1000=B157, $D$2:$D1000&lt;&gt;D157))"),"탑김응민,정글지범진,미드박상호,원딜천규환,서폿신현우")</f>
        <v>탑김응민,정글지범진,미드박상호,원딜천규환,서폿신현우</v>
      </c>
    </row>
    <row r="158" spans="1:15" ht="12.75" x14ac:dyDescent="0.2">
      <c r="A158" s="7">
        <v>46096</v>
      </c>
      <c r="B158" s="1">
        <v>1</v>
      </c>
      <c r="C158" s="1" t="s">
        <v>42</v>
      </c>
      <c r="D158" s="1" t="str">
        <f t="shared" si="2"/>
        <v>패</v>
      </c>
      <c r="E158" s="1" t="s">
        <v>33</v>
      </c>
      <c r="F158" s="1" t="s">
        <v>22</v>
      </c>
      <c r="G158" s="1" t="s">
        <v>83</v>
      </c>
      <c r="H158" s="1">
        <v>4</v>
      </c>
      <c r="I158" s="1">
        <v>12</v>
      </c>
      <c r="J158" s="1">
        <v>5</v>
      </c>
      <c r="K158" s="2">
        <v>14203</v>
      </c>
      <c r="L158" s="2">
        <v>14076</v>
      </c>
      <c r="O158" s="4" t="str">
        <f ca="1">IFERROR(__xludf.DUMMYFUNCTION("TEXTJOIN("","", TRUE, FILTER($E$2:$E1000 &amp; $C$2:$C1000, $A$2:$A1000=A158, $B$2:$B1000=B158, $D$2:$D1000&lt;&gt;D158))"),"탑김응민,정글지범진,미드박상호,원딜천규환,서폿신현우")</f>
        <v>탑김응민,정글지범진,미드박상호,원딜천규환,서폿신현우</v>
      </c>
    </row>
    <row r="159" spans="1:15" ht="12.75" x14ac:dyDescent="0.2">
      <c r="A159" s="7">
        <v>46096</v>
      </c>
      <c r="B159" s="1">
        <v>1</v>
      </c>
      <c r="C159" s="1" t="s">
        <v>27</v>
      </c>
      <c r="D159" s="1" t="str">
        <f t="shared" si="2"/>
        <v>패</v>
      </c>
      <c r="E159" s="1" t="s">
        <v>33</v>
      </c>
      <c r="F159" s="1" t="s">
        <v>18</v>
      </c>
      <c r="G159" s="1" t="s">
        <v>102</v>
      </c>
      <c r="H159" s="1">
        <v>7</v>
      </c>
      <c r="I159" s="1">
        <v>6</v>
      </c>
      <c r="J159" s="1">
        <v>7</v>
      </c>
      <c r="K159" s="2">
        <v>39095</v>
      </c>
      <c r="L159" s="2">
        <v>14322</v>
      </c>
      <c r="O159" s="4" t="str">
        <f ca="1">IFERROR(__xludf.DUMMYFUNCTION("TEXTJOIN("","", TRUE, FILTER($E$2:$E1000 &amp; $C$2:$C1000, $A$2:$A1000=A159, $B$2:$B1000=B159, $D$2:$D1000&lt;&gt;D159))"),"탑김응민,정글지범진,미드박상호,원딜천규환,서폿신현우")</f>
        <v>탑김응민,정글지범진,미드박상호,원딜천규환,서폿신현우</v>
      </c>
    </row>
    <row r="160" spans="1:15" ht="12.75" x14ac:dyDescent="0.2">
      <c r="A160" s="7">
        <v>46096</v>
      </c>
      <c r="B160" s="1">
        <v>1</v>
      </c>
      <c r="C160" s="1" t="s">
        <v>38</v>
      </c>
      <c r="D160" s="1" t="str">
        <f t="shared" si="2"/>
        <v>패</v>
      </c>
      <c r="E160" s="1" t="s">
        <v>33</v>
      </c>
      <c r="F160" s="1" t="s">
        <v>28</v>
      </c>
      <c r="G160" s="1" t="s">
        <v>90</v>
      </c>
      <c r="H160" s="1">
        <v>7</v>
      </c>
      <c r="I160" s="1">
        <v>6</v>
      </c>
      <c r="J160" s="1">
        <v>3</v>
      </c>
      <c r="K160" s="2">
        <v>30995</v>
      </c>
      <c r="L160" s="2">
        <v>14959</v>
      </c>
      <c r="O160" s="4" t="str">
        <f ca="1">IFERROR(__xludf.DUMMYFUNCTION("TEXTJOIN("","", TRUE, FILTER($E$2:$E1000 &amp; $C$2:$C1000, $A$2:$A1000=A160, $B$2:$B1000=B160, $D$2:$D1000&lt;&gt;D160))"),"탑김응민,정글지범진,미드박상호,원딜천규환,서폿신현우")</f>
        <v>탑김응민,정글지범진,미드박상호,원딜천규환,서폿신현우</v>
      </c>
    </row>
    <row r="161" spans="1:15" ht="12.75" x14ac:dyDescent="0.2">
      <c r="A161" s="7">
        <v>46096</v>
      </c>
      <c r="B161" s="1">
        <v>1</v>
      </c>
      <c r="C161" s="1" t="s">
        <v>20</v>
      </c>
      <c r="D161" s="1" t="str">
        <f t="shared" si="2"/>
        <v>패</v>
      </c>
      <c r="E161" s="1" t="s">
        <v>33</v>
      </c>
      <c r="F161" s="1" t="s">
        <v>30</v>
      </c>
      <c r="G161" s="1" t="s">
        <v>60</v>
      </c>
      <c r="H161" s="1">
        <v>2</v>
      </c>
      <c r="I161" s="1">
        <v>9</v>
      </c>
      <c r="J161" s="1">
        <v>10</v>
      </c>
      <c r="K161" s="2">
        <v>25374</v>
      </c>
      <c r="L161" s="2">
        <v>10260</v>
      </c>
      <c r="O161" s="4" t="str">
        <f ca="1">IFERROR(__xludf.DUMMYFUNCTION("TEXTJOIN("","", TRUE, FILTER($E$2:$E1000 &amp; $C$2:$C1000, $A$2:$A1000=A161, $B$2:$B1000=B161, $D$2:$D1000&lt;&gt;D161))"),"탑김응민,정글지범진,미드박상호,원딜천규환,서폿신현우")</f>
        <v>탑김응민,정글지범진,미드박상호,원딜천규환,서폿신현우</v>
      </c>
    </row>
    <row r="162" spans="1:15" ht="12.75" x14ac:dyDescent="0.2">
      <c r="A162" s="7">
        <v>46096</v>
      </c>
      <c r="B162" s="1">
        <v>2</v>
      </c>
      <c r="C162" s="1" t="s">
        <v>37</v>
      </c>
      <c r="D162" s="1" t="str">
        <f t="shared" si="2"/>
        <v/>
      </c>
      <c r="E162" s="1" t="s">
        <v>15</v>
      </c>
      <c r="F162" s="1" t="s">
        <v>16</v>
      </c>
      <c r="G162" s="1" t="s">
        <v>103</v>
      </c>
      <c r="H162" s="1">
        <v>10</v>
      </c>
      <c r="I162" s="1">
        <v>3</v>
      </c>
      <c r="J162" s="1">
        <v>1</v>
      </c>
      <c r="K162" s="2">
        <v>36181</v>
      </c>
      <c r="L162" s="2">
        <v>15190</v>
      </c>
      <c r="O162" s="4" t="str">
        <f ca="1">IFERROR(__xludf.DUMMYFUNCTION("TEXTJOIN("","", TRUE, FILTER($E$2:$E1000 &amp; $C$2:$C1000, $A$2:$A1000=A162, $B$2:$B1000=B162, $D$2:$D1000&lt;&gt;D162))"),"탑임성빈,정글이진건,미드정용운,원딜이창호,서폿이세환")</f>
        <v>탑임성빈,정글이진건,미드정용운,원딜이창호,서폿이세환</v>
      </c>
    </row>
    <row r="163" spans="1:15" ht="12.75" x14ac:dyDescent="0.2">
      <c r="A163" s="7">
        <v>46096</v>
      </c>
      <c r="B163" s="1">
        <v>2</v>
      </c>
      <c r="C163" s="1" t="s">
        <v>21</v>
      </c>
      <c r="D163" s="1" t="str">
        <f t="shared" si="2"/>
        <v/>
      </c>
      <c r="E163" s="1" t="s">
        <v>15</v>
      </c>
      <c r="F163" s="1" t="s">
        <v>22</v>
      </c>
      <c r="G163" s="1" t="s">
        <v>66</v>
      </c>
      <c r="H163" s="1">
        <v>2</v>
      </c>
      <c r="I163" s="1">
        <v>1</v>
      </c>
      <c r="J163" s="1">
        <v>13</v>
      </c>
      <c r="K163" s="2">
        <v>6231</v>
      </c>
      <c r="L163" s="2">
        <v>11025</v>
      </c>
      <c r="O163" s="4" t="str">
        <f ca="1">IFERROR(__xludf.DUMMYFUNCTION("TEXTJOIN("","", TRUE, FILTER($E$2:$E1000 &amp; $C$2:$C1000, $A$2:$A1000=A163, $B$2:$B1000=B163, $D$2:$D1000&lt;&gt;D163))"),"탑임성빈,정글이진건,미드정용운,원딜이창호,서폿이세환")</f>
        <v>탑임성빈,정글이진건,미드정용운,원딜이창호,서폿이세환</v>
      </c>
    </row>
    <row r="164" spans="1:15" ht="12.75" x14ac:dyDescent="0.2">
      <c r="A164" s="7">
        <v>46096</v>
      </c>
      <c r="B164" s="1">
        <v>2</v>
      </c>
      <c r="C164" s="1" t="s">
        <v>14</v>
      </c>
      <c r="D164" s="1" t="str">
        <f t="shared" si="2"/>
        <v/>
      </c>
      <c r="E164" s="1" t="s">
        <v>15</v>
      </c>
      <c r="F164" s="1" t="s">
        <v>18</v>
      </c>
      <c r="G164" s="1" t="s">
        <v>24</v>
      </c>
      <c r="H164" s="1">
        <v>4</v>
      </c>
      <c r="I164" s="1">
        <v>1</v>
      </c>
      <c r="J164" s="1">
        <v>3</v>
      </c>
      <c r="K164" s="2">
        <v>18068</v>
      </c>
      <c r="L164" s="2">
        <v>11224</v>
      </c>
      <c r="O164" s="4" t="str">
        <f ca="1">IFERROR(__xludf.DUMMYFUNCTION("TEXTJOIN("","", TRUE, FILTER($E$2:$E1000 &amp; $C$2:$C1000, $A$2:$A1000=A164, $B$2:$B1000=B164, $D$2:$D1000&lt;&gt;D164))"),"탑임성빈,정글이진건,미드정용운,원딜이창호,서폿이세환")</f>
        <v>탑임성빈,정글이진건,미드정용운,원딜이창호,서폿이세환</v>
      </c>
    </row>
    <row r="165" spans="1:15" ht="12.75" x14ac:dyDescent="0.2">
      <c r="A165" s="7">
        <v>46096</v>
      </c>
      <c r="B165" s="1">
        <v>2</v>
      </c>
      <c r="C165" s="1" t="s">
        <v>51</v>
      </c>
      <c r="D165" s="1" t="str">
        <f t="shared" si="2"/>
        <v/>
      </c>
      <c r="E165" s="1" t="s">
        <v>15</v>
      </c>
      <c r="F165" s="1" t="s">
        <v>28</v>
      </c>
      <c r="G165" s="1" t="s">
        <v>92</v>
      </c>
      <c r="H165" s="1">
        <v>5</v>
      </c>
      <c r="I165" s="1">
        <v>3</v>
      </c>
      <c r="J165" s="1">
        <v>7</v>
      </c>
      <c r="K165" s="2">
        <v>15329</v>
      </c>
      <c r="L165" s="2">
        <v>13275</v>
      </c>
      <c r="O165" s="4" t="str">
        <f ca="1">IFERROR(__xludf.DUMMYFUNCTION("TEXTJOIN("","", TRUE, FILTER($E$2:$E1000 &amp; $C$2:$C1000, $A$2:$A1000=A165, $B$2:$B1000=B165, $D$2:$D1000&lt;&gt;D165))"),"탑임성빈,정글이진건,미드정용운,원딜이창호,서폿이세환")</f>
        <v>탑임성빈,정글이진건,미드정용운,원딜이창호,서폿이세환</v>
      </c>
    </row>
    <row r="166" spans="1:15" ht="12.75" x14ac:dyDescent="0.2">
      <c r="A166" s="7">
        <v>46096</v>
      </c>
      <c r="B166" s="1">
        <v>2</v>
      </c>
      <c r="C166" s="1" t="s">
        <v>49</v>
      </c>
      <c r="D166" s="1" t="str">
        <f t="shared" si="2"/>
        <v/>
      </c>
      <c r="E166" s="1" t="s">
        <v>15</v>
      </c>
      <c r="F166" s="1" t="s">
        <v>30</v>
      </c>
      <c r="G166" s="1" t="s">
        <v>104</v>
      </c>
      <c r="H166" s="1">
        <v>4</v>
      </c>
      <c r="I166" s="1">
        <v>3</v>
      </c>
      <c r="J166" s="1">
        <v>12</v>
      </c>
      <c r="K166" s="2">
        <v>15046</v>
      </c>
      <c r="L166" s="2">
        <v>8988</v>
      </c>
      <c r="O166" s="4" t="str">
        <f ca="1">IFERROR(__xludf.DUMMYFUNCTION("TEXTJOIN("","", TRUE, FILTER($E$2:$E1000 &amp; $C$2:$C1000, $A$2:$A1000=A166, $B$2:$B1000=B166, $D$2:$D1000&lt;&gt;D166))"),"탑임성빈,정글이진건,미드정용운,원딜이창호,서폿이세환")</f>
        <v>탑임성빈,정글이진건,미드정용운,원딜이창호,서폿이세환</v>
      </c>
    </row>
    <row r="167" spans="1:15" ht="12.75" x14ac:dyDescent="0.2">
      <c r="A167" s="7">
        <v>46096</v>
      </c>
      <c r="B167" s="1">
        <v>2</v>
      </c>
      <c r="C167" s="1" t="s">
        <v>32</v>
      </c>
      <c r="D167" s="1" t="str">
        <f t="shared" si="2"/>
        <v/>
      </c>
      <c r="E167" s="1" t="s">
        <v>33</v>
      </c>
      <c r="F167" s="1" t="s">
        <v>16</v>
      </c>
      <c r="G167" s="1" t="s">
        <v>61</v>
      </c>
      <c r="H167" s="1">
        <v>1</v>
      </c>
      <c r="I167" s="1">
        <v>5</v>
      </c>
      <c r="J167" s="1">
        <v>1</v>
      </c>
      <c r="K167" s="2">
        <v>9212</v>
      </c>
      <c r="L167" s="2">
        <v>9470</v>
      </c>
      <c r="O167" s="4" t="str">
        <f ca="1">IFERROR(__xludf.DUMMYFUNCTION("TEXTJOIN("","", TRUE, FILTER($E$2:$E1000 &amp; $C$2:$C1000, $A$2:$A1000=A167, $B$2:$B1000=B167, $D$2:$D1000&lt;&gt;D167))"),"탑김응민,정글지범진,미드박상호,원딜천규환,서폿신현우")</f>
        <v>탑김응민,정글지범진,미드박상호,원딜천규환,서폿신현우</v>
      </c>
    </row>
    <row r="168" spans="1:15" ht="12.75" x14ac:dyDescent="0.2">
      <c r="A168" s="7">
        <v>46096</v>
      </c>
      <c r="B168" s="1">
        <v>2</v>
      </c>
      <c r="C168" s="1" t="s">
        <v>42</v>
      </c>
      <c r="D168" s="1" t="str">
        <f t="shared" si="2"/>
        <v/>
      </c>
      <c r="E168" s="1" t="s">
        <v>33</v>
      </c>
      <c r="F168" s="1" t="s">
        <v>22</v>
      </c>
      <c r="G168" s="1" t="s">
        <v>105</v>
      </c>
      <c r="H168" s="1">
        <v>4</v>
      </c>
      <c r="I168" s="1">
        <v>4</v>
      </c>
      <c r="J168" s="1">
        <v>2</v>
      </c>
      <c r="K168" s="2">
        <v>11776</v>
      </c>
      <c r="L168" s="2">
        <v>11390</v>
      </c>
      <c r="O168" s="4" t="str">
        <f ca="1">IFERROR(__xludf.DUMMYFUNCTION("TEXTJOIN("","", TRUE, FILTER($E$2:$E1000 &amp; $C$2:$C1000, $A$2:$A1000=A168, $B$2:$B1000=B168, $D$2:$D1000&lt;&gt;D168))"),"탑김응민,정글지범진,미드박상호,원딜천규환,서폿신현우")</f>
        <v>탑김응민,정글지범진,미드박상호,원딜천규환,서폿신현우</v>
      </c>
    </row>
    <row r="169" spans="1:15" ht="12.75" x14ac:dyDescent="0.2">
      <c r="A169" s="7">
        <v>46096</v>
      </c>
      <c r="B169" s="1">
        <v>2</v>
      </c>
      <c r="C169" s="1" t="s">
        <v>27</v>
      </c>
      <c r="D169" s="1" t="str">
        <f t="shared" si="2"/>
        <v/>
      </c>
      <c r="E169" s="1" t="s">
        <v>33</v>
      </c>
      <c r="F169" s="1" t="s">
        <v>18</v>
      </c>
      <c r="G169" s="1" t="s">
        <v>102</v>
      </c>
      <c r="H169" s="1">
        <v>2</v>
      </c>
      <c r="I169" s="1">
        <v>4</v>
      </c>
      <c r="J169" s="1">
        <v>2</v>
      </c>
      <c r="K169" s="2">
        <v>15387</v>
      </c>
      <c r="L169" s="2">
        <v>10340</v>
      </c>
      <c r="O169" s="4" t="str">
        <f ca="1">IFERROR(__xludf.DUMMYFUNCTION("TEXTJOIN("","", TRUE, FILTER($E$2:$E1000 &amp; $C$2:$C1000, $A$2:$A1000=A169, $B$2:$B1000=B169, $D$2:$D1000&lt;&gt;D169))"),"탑김응민,정글지범진,미드박상호,원딜천규환,서폿신현우")</f>
        <v>탑김응민,정글지범진,미드박상호,원딜천규환,서폿신현우</v>
      </c>
    </row>
    <row r="170" spans="1:15" ht="12.75" x14ac:dyDescent="0.2">
      <c r="A170" s="7">
        <v>46096</v>
      </c>
      <c r="B170" s="1">
        <v>2</v>
      </c>
      <c r="C170" s="1" t="s">
        <v>38</v>
      </c>
      <c r="D170" s="1" t="str">
        <f t="shared" si="2"/>
        <v/>
      </c>
      <c r="E170" s="1" t="s">
        <v>33</v>
      </c>
      <c r="F170" s="1" t="s">
        <v>28</v>
      </c>
      <c r="G170" s="1" t="s">
        <v>39</v>
      </c>
      <c r="H170" s="1">
        <v>2</v>
      </c>
      <c r="I170" s="1">
        <v>6</v>
      </c>
      <c r="J170" s="1">
        <v>3</v>
      </c>
      <c r="K170" s="2">
        <v>12445</v>
      </c>
      <c r="L170" s="2">
        <v>11813</v>
      </c>
      <c r="O170" s="4" t="str">
        <f ca="1">IFERROR(__xludf.DUMMYFUNCTION("TEXTJOIN("","", TRUE, FILTER($E$2:$E1000 &amp; $C$2:$C1000, $A$2:$A1000=A170, $B$2:$B1000=B170, $D$2:$D1000&lt;&gt;D170))"),"탑김응민,정글지범진,미드박상호,원딜천규환,서폿신현우")</f>
        <v>탑김응민,정글지범진,미드박상호,원딜천규환,서폿신현우</v>
      </c>
    </row>
    <row r="171" spans="1:15" ht="12.75" x14ac:dyDescent="0.2">
      <c r="A171" s="7">
        <v>46096</v>
      </c>
      <c r="B171" s="1">
        <v>2</v>
      </c>
      <c r="C171" s="1" t="s">
        <v>20</v>
      </c>
      <c r="D171" s="1" t="str">
        <f t="shared" si="2"/>
        <v/>
      </c>
      <c r="E171" s="1" t="s">
        <v>33</v>
      </c>
      <c r="F171" s="1" t="s">
        <v>30</v>
      </c>
      <c r="G171" s="1" t="s">
        <v>84</v>
      </c>
      <c r="H171" s="1">
        <v>2</v>
      </c>
      <c r="I171" s="1">
        <v>6</v>
      </c>
      <c r="J171" s="1">
        <v>5</v>
      </c>
      <c r="K171" s="2">
        <v>22173</v>
      </c>
      <c r="L171" s="2">
        <v>9298</v>
      </c>
      <c r="O171" s="4" t="str">
        <f ca="1">IFERROR(__xludf.DUMMYFUNCTION("TEXTJOIN("","", TRUE, FILTER($E$2:$E1000 &amp; $C$2:$C1000, $A$2:$A1000=A171, $B$2:$B1000=B171, $D$2:$D1000&lt;&gt;D171))"),"탑김응민,정글지범진,미드박상호,원딜천규환,서폿신현우")</f>
        <v>탑김응민,정글지범진,미드박상호,원딜천규환,서폿신현우</v>
      </c>
    </row>
    <row r="172" spans="1:15" ht="12.75" x14ac:dyDescent="0.2">
      <c r="A172" s="7">
        <v>46096</v>
      </c>
      <c r="B172" s="1">
        <v>3</v>
      </c>
      <c r="C172" s="1" t="s">
        <v>37</v>
      </c>
      <c r="D172" s="1" t="str">
        <f t="shared" si="2"/>
        <v/>
      </c>
      <c r="E172" s="1" t="s">
        <v>15</v>
      </c>
      <c r="F172" s="1" t="s">
        <v>16</v>
      </c>
      <c r="G172" s="1" t="s">
        <v>24</v>
      </c>
      <c r="H172" s="1">
        <v>3</v>
      </c>
      <c r="I172" s="1">
        <v>2</v>
      </c>
      <c r="J172" s="1">
        <v>5</v>
      </c>
      <c r="K172" s="2">
        <v>16803</v>
      </c>
      <c r="L172" s="2">
        <v>11594</v>
      </c>
      <c r="O172" s="4" t="str">
        <f ca="1">IFERROR(__xludf.DUMMYFUNCTION("TEXTJOIN("","", TRUE, FILTER($E$2:$E1000 &amp; $C$2:$C1000, $A$2:$A1000=A172, $B$2:$B1000=B172, $D$2:$D1000&lt;&gt;D172))"),"탑정용운,정글이세환,미드이진건,원딜이창호,서폿임성빈")</f>
        <v>탑정용운,정글이세환,미드이진건,원딜이창호,서폿임성빈</v>
      </c>
    </row>
    <row r="173" spans="1:15" ht="12.75" x14ac:dyDescent="0.2">
      <c r="A173" s="7">
        <v>46096</v>
      </c>
      <c r="B173" s="1">
        <v>3</v>
      </c>
      <c r="C173" s="1" t="s">
        <v>21</v>
      </c>
      <c r="D173" s="1" t="str">
        <f t="shared" si="2"/>
        <v/>
      </c>
      <c r="E173" s="1" t="s">
        <v>15</v>
      </c>
      <c r="F173" s="1" t="s">
        <v>22</v>
      </c>
      <c r="G173" s="1" t="s">
        <v>43</v>
      </c>
      <c r="H173" s="1">
        <v>9</v>
      </c>
      <c r="I173" s="1">
        <v>3</v>
      </c>
      <c r="J173" s="1">
        <v>10</v>
      </c>
      <c r="K173" s="2">
        <v>14225</v>
      </c>
      <c r="L173" s="2">
        <v>13837</v>
      </c>
      <c r="O173" s="4" t="str">
        <f ca="1">IFERROR(__xludf.DUMMYFUNCTION("TEXTJOIN("","", TRUE, FILTER($E$2:$E1000 &amp; $C$2:$C1000, $A$2:$A1000=A173, $B$2:$B1000=B173, $D$2:$D1000&lt;&gt;D173))"),"탑정용운,정글이세환,미드이진건,원딜이창호,서폿임성빈")</f>
        <v>탑정용운,정글이세환,미드이진건,원딜이창호,서폿임성빈</v>
      </c>
    </row>
    <row r="174" spans="1:15" ht="12.75" x14ac:dyDescent="0.2">
      <c r="A174" s="7">
        <v>46096</v>
      </c>
      <c r="B174" s="1">
        <v>3</v>
      </c>
      <c r="C174" s="1" t="s">
        <v>14</v>
      </c>
      <c r="D174" s="1" t="str">
        <f t="shared" si="2"/>
        <v/>
      </c>
      <c r="E174" s="1" t="s">
        <v>15</v>
      </c>
      <c r="F174" s="1" t="s">
        <v>18</v>
      </c>
      <c r="G174" s="1" t="s">
        <v>19</v>
      </c>
      <c r="H174" s="1">
        <v>8</v>
      </c>
      <c r="I174" s="1">
        <v>5</v>
      </c>
      <c r="J174" s="1">
        <v>5</v>
      </c>
      <c r="K174" s="2">
        <v>19075</v>
      </c>
      <c r="L174" s="2">
        <v>12034</v>
      </c>
      <c r="O174" s="4" t="str">
        <f ca="1">IFERROR(__xludf.DUMMYFUNCTION("TEXTJOIN("","", TRUE, FILTER($E$2:$E1000 &amp; $C$2:$C1000, $A$2:$A1000=A174, $B$2:$B1000=B174, $D$2:$D1000&lt;&gt;D174))"),"탑정용운,정글이세환,미드이진건,원딜이창호,서폿임성빈")</f>
        <v>탑정용운,정글이세환,미드이진건,원딜이창호,서폿임성빈</v>
      </c>
    </row>
    <row r="175" spans="1:15" ht="12.75" x14ac:dyDescent="0.2">
      <c r="A175" s="7">
        <v>46096</v>
      </c>
      <c r="B175" s="1">
        <v>3</v>
      </c>
      <c r="C175" s="1" t="s">
        <v>51</v>
      </c>
      <c r="D175" s="1" t="str">
        <f t="shared" si="2"/>
        <v/>
      </c>
      <c r="E175" s="1" t="s">
        <v>15</v>
      </c>
      <c r="F175" s="1" t="s">
        <v>28</v>
      </c>
      <c r="G175" s="1" t="s">
        <v>84</v>
      </c>
      <c r="H175" s="1">
        <v>14</v>
      </c>
      <c r="I175" s="1">
        <v>2</v>
      </c>
      <c r="J175" s="1">
        <v>8</v>
      </c>
      <c r="K175" s="2">
        <v>40729</v>
      </c>
      <c r="L175" s="2">
        <v>15269</v>
      </c>
      <c r="O175" s="4" t="str">
        <f ca="1">IFERROR(__xludf.DUMMYFUNCTION("TEXTJOIN("","", TRUE, FILTER($E$2:$E1000 &amp; $C$2:$C1000, $A$2:$A1000=A175, $B$2:$B1000=B175, $D$2:$D1000&lt;&gt;D175))"),"탑정용운,정글이세환,미드이진건,원딜이창호,서폿임성빈")</f>
        <v>탑정용운,정글이세환,미드이진건,원딜이창호,서폿임성빈</v>
      </c>
    </row>
    <row r="176" spans="1:15" ht="12.75" x14ac:dyDescent="0.2">
      <c r="A176" s="7">
        <v>46096</v>
      </c>
      <c r="B176" s="1">
        <v>3</v>
      </c>
      <c r="C176" s="1" t="s">
        <v>49</v>
      </c>
      <c r="D176" s="1" t="str">
        <f t="shared" si="2"/>
        <v/>
      </c>
      <c r="E176" s="1" t="s">
        <v>15</v>
      </c>
      <c r="F176" s="1" t="s">
        <v>30</v>
      </c>
      <c r="G176" s="1" t="s">
        <v>65</v>
      </c>
      <c r="H176" s="1">
        <v>0</v>
      </c>
      <c r="I176" s="1">
        <v>3</v>
      </c>
      <c r="J176" s="1">
        <v>27</v>
      </c>
      <c r="K176" s="2">
        <v>9081</v>
      </c>
      <c r="L176" s="2">
        <v>8733</v>
      </c>
      <c r="O176" s="4" t="str">
        <f ca="1">IFERROR(__xludf.DUMMYFUNCTION("TEXTJOIN("","", TRUE, FILTER($E$2:$E1000 &amp; $C$2:$C1000, $A$2:$A1000=A176, $B$2:$B1000=B176, $D$2:$D1000&lt;&gt;D176))"),"탑정용운,정글이세환,미드이진건,원딜이창호,서폿임성빈")</f>
        <v>탑정용운,정글이세환,미드이진건,원딜이창호,서폿임성빈</v>
      </c>
    </row>
    <row r="177" spans="1:15" ht="12.75" x14ac:dyDescent="0.2">
      <c r="A177" s="7">
        <v>46096</v>
      </c>
      <c r="B177" s="1">
        <v>3</v>
      </c>
      <c r="C177" s="1" t="s">
        <v>27</v>
      </c>
      <c r="D177" s="1" t="str">
        <f t="shared" si="2"/>
        <v/>
      </c>
      <c r="E177" s="1" t="s">
        <v>33</v>
      </c>
      <c r="F177" s="1" t="s">
        <v>16</v>
      </c>
      <c r="G177" s="1" t="s">
        <v>92</v>
      </c>
      <c r="H177" s="1">
        <v>3</v>
      </c>
      <c r="I177" s="1">
        <v>4</v>
      </c>
      <c r="J177" s="1">
        <v>3</v>
      </c>
      <c r="K177" s="2">
        <v>15453</v>
      </c>
      <c r="L177" s="2">
        <v>8879</v>
      </c>
      <c r="O177" s="4" t="str">
        <f ca="1">IFERROR(__xludf.DUMMYFUNCTION("TEXTJOIN("","", TRUE, FILTER($E$2:$E1000 &amp; $C$2:$C1000, $A$2:$A1000=A177, $B$2:$B1000=B177, $D$2:$D1000&lt;&gt;D177))"),"탑김응민,정글지범진,미드박상호,원딜천규환,서폿신현우")</f>
        <v>탑김응민,정글지범진,미드박상호,원딜천규환,서폿신현우</v>
      </c>
    </row>
    <row r="178" spans="1:15" ht="12.75" x14ac:dyDescent="0.2">
      <c r="A178" s="7">
        <v>46096</v>
      </c>
      <c r="B178" s="1">
        <v>3</v>
      </c>
      <c r="C178" s="1" t="s">
        <v>20</v>
      </c>
      <c r="D178" s="1" t="str">
        <f t="shared" si="2"/>
        <v/>
      </c>
      <c r="E178" s="1" t="s">
        <v>33</v>
      </c>
      <c r="F178" s="1" t="s">
        <v>22</v>
      </c>
      <c r="G178" s="1" t="s">
        <v>106</v>
      </c>
      <c r="H178" s="1">
        <v>5</v>
      </c>
      <c r="I178" s="1">
        <v>5</v>
      </c>
      <c r="J178" s="1">
        <v>5</v>
      </c>
      <c r="K178" s="2">
        <v>13866</v>
      </c>
      <c r="L178" s="2">
        <v>10679</v>
      </c>
      <c r="O178" s="4" t="str">
        <f ca="1">IFERROR(__xludf.DUMMYFUNCTION("TEXTJOIN("","", TRUE, FILTER($E$2:$E1000 &amp; $C$2:$C1000, $A$2:$A1000=A178, $B$2:$B1000=B178, $D$2:$D1000&lt;&gt;D178))"),"탑김응민,정글지범진,미드박상호,원딜천규환,서폿신현우")</f>
        <v>탑김응민,정글지범진,미드박상호,원딜천규환,서폿신현우</v>
      </c>
    </row>
    <row r="179" spans="1:15" ht="12.75" x14ac:dyDescent="0.2">
      <c r="A179" s="7">
        <v>46096</v>
      </c>
      <c r="B179" s="1">
        <v>3</v>
      </c>
      <c r="C179" s="1" t="s">
        <v>42</v>
      </c>
      <c r="D179" s="1" t="str">
        <f t="shared" si="2"/>
        <v/>
      </c>
      <c r="E179" s="1" t="s">
        <v>33</v>
      </c>
      <c r="F179" s="1" t="s">
        <v>18</v>
      </c>
      <c r="G179" s="1" t="s">
        <v>63</v>
      </c>
      <c r="H179" s="1">
        <v>2</v>
      </c>
      <c r="I179" s="1">
        <v>6</v>
      </c>
      <c r="J179" s="1">
        <v>2</v>
      </c>
      <c r="K179" s="2">
        <v>11930</v>
      </c>
      <c r="L179" s="2">
        <v>8964</v>
      </c>
      <c r="O179" s="4" t="str">
        <f ca="1">IFERROR(__xludf.DUMMYFUNCTION("TEXTJOIN("","", TRUE, FILTER($E$2:$E1000 &amp; $C$2:$C1000, $A$2:$A1000=A179, $B$2:$B1000=B179, $D$2:$D1000&lt;&gt;D179))"),"탑김응민,정글지범진,미드박상호,원딜천규환,서폿신현우")</f>
        <v>탑김응민,정글지범진,미드박상호,원딜천규환,서폿신현우</v>
      </c>
    </row>
    <row r="180" spans="1:15" ht="12.75" x14ac:dyDescent="0.2">
      <c r="A180" s="7">
        <v>46096</v>
      </c>
      <c r="B180" s="1">
        <v>3</v>
      </c>
      <c r="C180" s="1" t="s">
        <v>38</v>
      </c>
      <c r="D180" s="1" t="str">
        <f t="shared" si="2"/>
        <v/>
      </c>
      <c r="E180" s="1" t="s">
        <v>33</v>
      </c>
      <c r="F180" s="1" t="s">
        <v>28</v>
      </c>
      <c r="G180" s="1" t="s">
        <v>80</v>
      </c>
      <c r="H180" s="1">
        <v>3</v>
      </c>
      <c r="I180" s="1">
        <v>7</v>
      </c>
      <c r="J180" s="1">
        <v>7</v>
      </c>
      <c r="K180" s="2">
        <v>24277</v>
      </c>
      <c r="L180" s="2">
        <v>11963</v>
      </c>
      <c r="O180" s="4" t="str">
        <f ca="1">IFERROR(__xludf.DUMMYFUNCTION("TEXTJOIN("","", TRUE, FILTER($E$2:$E1000 &amp; $C$2:$C1000, $A$2:$A1000=A180, $B$2:$B1000=B180, $D$2:$D1000&lt;&gt;D180))"),"탑김응민,정글지범진,미드박상호,원딜천규환,서폿신현우")</f>
        <v>탑김응민,정글지범진,미드박상호,원딜천규환,서폿신현우</v>
      </c>
    </row>
    <row r="181" spans="1:15" ht="12.75" x14ac:dyDescent="0.2">
      <c r="A181" s="7">
        <v>46096</v>
      </c>
      <c r="B181" s="1">
        <v>3</v>
      </c>
      <c r="C181" s="1" t="s">
        <v>32</v>
      </c>
      <c r="D181" s="1" t="str">
        <f t="shared" si="2"/>
        <v/>
      </c>
      <c r="E181" s="1" t="s">
        <v>33</v>
      </c>
      <c r="F181" s="1" t="s">
        <v>30</v>
      </c>
      <c r="G181" s="1" t="s">
        <v>57</v>
      </c>
      <c r="H181" s="1">
        <v>2</v>
      </c>
      <c r="I181" s="1">
        <v>12</v>
      </c>
      <c r="J181" s="1">
        <v>8</v>
      </c>
      <c r="K181" s="2">
        <v>8264</v>
      </c>
      <c r="L181" s="2">
        <v>7126</v>
      </c>
      <c r="O181" s="4" t="str">
        <f ca="1">IFERROR(__xludf.DUMMYFUNCTION("TEXTJOIN("","", TRUE, FILTER($E$2:$E1000 &amp; $C$2:$C1000, $A$2:$A1000=A181, $B$2:$B1000=B181, $D$2:$D1000&lt;&gt;D181))"),"탑김응민,정글지범진,미드박상호,원딜천규환,서폿신현우")</f>
        <v>탑김응민,정글지범진,미드박상호,원딜천규환,서폿신현우</v>
      </c>
    </row>
    <row r="182" spans="1:15" ht="12.75" x14ac:dyDescent="0.2">
      <c r="A182" s="7">
        <v>46241</v>
      </c>
      <c r="B182" s="1">
        <v>1</v>
      </c>
      <c r="C182" s="1" t="s">
        <v>53</v>
      </c>
      <c r="D182" s="1" t="str">
        <f t="shared" si="2"/>
        <v>승</v>
      </c>
      <c r="E182" s="1" t="s">
        <v>15</v>
      </c>
      <c r="F182" s="1" t="s">
        <v>16</v>
      </c>
      <c r="G182" s="1" t="s">
        <v>87</v>
      </c>
      <c r="H182" s="1">
        <v>1</v>
      </c>
      <c r="I182" s="1">
        <v>6</v>
      </c>
      <c r="J182" s="1">
        <v>9</v>
      </c>
      <c r="K182" s="2">
        <v>16228</v>
      </c>
      <c r="L182" s="2">
        <v>9759</v>
      </c>
      <c r="O182" s="4" t="str">
        <f ca="1">IFERROR(__xludf.DUMMYFUNCTION("TEXTJOIN("","", TRUE, FILTER($E$2:$E1000 &amp; $C$2:$C1000, $A$2:$A1000=A182, $B$2:$B1000=B182, $D$2:$D1000&lt;&gt;D182))"),"탑박원준,정글이진건,미드정용운,원딜이세환,서폿김광유")</f>
        <v>탑박원준,정글이진건,미드정용운,원딜이세환,서폿김광유</v>
      </c>
    </row>
    <row r="183" spans="1:15" ht="12.75" x14ac:dyDescent="0.2">
      <c r="A183" s="7">
        <v>46241</v>
      </c>
      <c r="B183" s="1">
        <v>1</v>
      </c>
      <c r="C183" s="1" t="s">
        <v>21</v>
      </c>
      <c r="D183" s="1" t="str">
        <f t="shared" si="2"/>
        <v>승</v>
      </c>
      <c r="E183" s="1" t="s">
        <v>15</v>
      </c>
      <c r="F183" s="1" t="s">
        <v>22</v>
      </c>
      <c r="G183" s="1" t="s">
        <v>43</v>
      </c>
      <c r="H183" s="1">
        <v>9</v>
      </c>
      <c r="I183" s="1">
        <v>4</v>
      </c>
      <c r="J183" s="1">
        <v>15</v>
      </c>
      <c r="K183" s="2">
        <v>27959</v>
      </c>
      <c r="L183" s="2">
        <v>16563</v>
      </c>
      <c r="O183" s="4" t="str">
        <f ca="1">IFERROR(__xludf.DUMMYFUNCTION("TEXTJOIN("","", TRUE, FILTER($E$2:$E1000 &amp; $C$2:$C1000, $A$2:$A1000=A183, $B$2:$B1000=B183, $D$2:$D1000&lt;&gt;D183))"),"탑박원준,정글이진건,미드정용운,원딜이세환,서폿김광유")</f>
        <v>탑박원준,정글이진건,미드정용운,원딜이세환,서폿김광유</v>
      </c>
    </row>
    <row r="184" spans="1:15" ht="12.75" x14ac:dyDescent="0.2">
      <c r="A184" s="7">
        <v>46241</v>
      </c>
      <c r="B184" s="1">
        <v>1</v>
      </c>
      <c r="C184" s="1" t="s">
        <v>14</v>
      </c>
      <c r="D184" s="1" t="str">
        <f t="shared" si="2"/>
        <v>승</v>
      </c>
      <c r="E184" s="1" t="s">
        <v>15</v>
      </c>
      <c r="F184" s="1" t="s">
        <v>18</v>
      </c>
      <c r="G184" s="1" t="s">
        <v>24</v>
      </c>
      <c r="H184" s="1">
        <v>13</v>
      </c>
      <c r="I184" s="1">
        <v>2</v>
      </c>
      <c r="J184" s="1">
        <v>10</v>
      </c>
      <c r="K184" s="2">
        <v>41676</v>
      </c>
      <c r="L184" s="2">
        <v>17525</v>
      </c>
      <c r="O184" s="4" t="str">
        <f ca="1">IFERROR(__xludf.DUMMYFUNCTION("TEXTJOIN("","", TRUE, FILTER($E$2:$E1000 &amp; $C$2:$C1000, $A$2:$A1000=A184, $B$2:$B1000=B184, $D$2:$D1000&lt;&gt;D184))"),"탑박원준,정글이진건,미드정용운,원딜이세환,서폿김광유")</f>
        <v>탑박원준,정글이진건,미드정용운,원딜이세환,서폿김광유</v>
      </c>
    </row>
    <row r="185" spans="1:15" ht="12.75" x14ac:dyDescent="0.2">
      <c r="A185" s="7">
        <v>46241</v>
      </c>
      <c r="B185" s="1">
        <v>1</v>
      </c>
      <c r="C185" s="1" t="s">
        <v>38</v>
      </c>
      <c r="D185" s="1" t="str">
        <f t="shared" si="2"/>
        <v>승</v>
      </c>
      <c r="E185" s="1" t="s">
        <v>15</v>
      </c>
      <c r="F185" s="1" t="s">
        <v>28</v>
      </c>
      <c r="G185" s="1" t="s">
        <v>107</v>
      </c>
      <c r="H185" s="1">
        <v>7</v>
      </c>
      <c r="I185" s="1">
        <v>3</v>
      </c>
      <c r="J185" s="1">
        <v>7</v>
      </c>
      <c r="K185" s="2">
        <v>43243</v>
      </c>
      <c r="L185" s="2">
        <v>15432</v>
      </c>
      <c r="O185" s="4" t="str">
        <f ca="1">IFERROR(__xludf.DUMMYFUNCTION("TEXTJOIN("","", TRUE, FILTER($E$2:$E1000 &amp; $C$2:$C1000, $A$2:$A1000=A185, $B$2:$B1000=B185, $D$2:$D1000&lt;&gt;D185))"),"탑박원준,정글이진건,미드정용운,원딜이세환,서폿김광유")</f>
        <v>탑박원준,정글이진건,미드정용운,원딜이세환,서폿김광유</v>
      </c>
    </row>
    <row r="186" spans="1:15" ht="12.75" x14ac:dyDescent="0.2">
      <c r="A186" s="7">
        <v>46241</v>
      </c>
      <c r="B186" s="1">
        <v>1</v>
      </c>
      <c r="C186" s="1" t="s">
        <v>54</v>
      </c>
      <c r="D186" s="1" t="str">
        <f t="shared" si="2"/>
        <v>승</v>
      </c>
      <c r="E186" s="1" t="s">
        <v>15</v>
      </c>
      <c r="F186" s="1" t="s">
        <v>30</v>
      </c>
      <c r="G186" s="1" t="s">
        <v>86</v>
      </c>
      <c r="H186" s="1">
        <v>0</v>
      </c>
      <c r="I186" s="1">
        <v>6</v>
      </c>
      <c r="J186" s="1">
        <v>20</v>
      </c>
      <c r="K186" s="2">
        <v>7937</v>
      </c>
      <c r="L186" s="2">
        <v>9417</v>
      </c>
      <c r="O186" s="4" t="str">
        <f ca="1">IFERROR(__xludf.DUMMYFUNCTION("TEXTJOIN("","", TRUE, FILTER($E$2:$E1000 &amp; $C$2:$C1000, $A$2:$A1000=A186, $B$2:$B1000=B186, $D$2:$D1000&lt;&gt;D186))"),"탑박원준,정글이진건,미드정용운,원딜이세환,서폿김광유")</f>
        <v>탑박원준,정글이진건,미드정용운,원딜이세환,서폿김광유</v>
      </c>
    </row>
    <row r="187" spans="1:15" ht="12.75" x14ac:dyDescent="0.2">
      <c r="A187" s="7">
        <v>46241</v>
      </c>
      <c r="B187" s="1">
        <v>1</v>
      </c>
      <c r="C187" s="1" t="s">
        <v>56</v>
      </c>
      <c r="D187" s="1" t="str">
        <f t="shared" si="2"/>
        <v>패</v>
      </c>
      <c r="E187" s="1" t="s">
        <v>33</v>
      </c>
      <c r="F187" s="1" t="s">
        <v>16</v>
      </c>
      <c r="G187" s="1" t="s">
        <v>61</v>
      </c>
      <c r="H187" s="1">
        <v>4</v>
      </c>
      <c r="I187" s="1">
        <v>3</v>
      </c>
      <c r="J187" s="1">
        <v>8</v>
      </c>
      <c r="K187" s="2">
        <v>22674</v>
      </c>
      <c r="L187" s="2">
        <v>11770</v>
      </c>
      <c r="O187" s="4" t="str">
        <f ca="1">IFERROR(__xludf.DUMMYFUNCTION("TEXTJOIN("","", TRUE, FILTER($E$2:$E1000 &amp; $C$2:$C1000, $A$2:$A1000=A187, $B$2:$B1000=B187, $D$2:$D1000&lt;&gt;D187))"),"탑배승진,정글지범진,미드박상호,원딜이창호,서폿김규철")</f>
        <v>탑배승진,정글지범진,미드박상호,원딜이창호,서폿김규철</v>
      </c>
    </row>
    <row r="188" spans="1:15" ht="12.75" x14ac:dyDescent="0.2">
      <c r="A188" s="7">
        <v>46241</v>
      </c>
      <c r="B188" s="1">
        <v>1</v>
      </c>
      <c r="C188" s="1" t="s">
        <v>42</v>
      </c>
      <c r="D188" s="1" t="str">
        <f t="shared" si="2"/>
        <v>패</v>
      </c>
      <c r="E188" s="1" t="s">
        <v>33</v>
      </c>
      <c r="F188" s="1" t="s">
        <v>22</v>
      </c>
      <c r="G188" s="1" t="s">
        <v>60</v>
      </c>
      <c r="H188" s="1">
        <v>5</v>
      </c>
      <c r="I188" s="1">
        <v>6</v>
      </c>
      <c r="J188" s="1">
        <v>6</v>
      </c>
      <c r="K188" s="2">
        <v>27045</v>
      </c>
      <c r="L188" s="2">
        <v>14344</v>
      </c>
      <c r="O188" s="4" t="str">
        <f ca="1">IFERROR(__xludf.DUMMYFUNCTION("TEXTJOIN("","", TRUE, FILTER($E$2:$E1000 &amp; $C$2:$C1000, $A$2:$A1000=A188, $B$2:$B1000=B188, $D$2:$D1000&lt;&gt;D188))"),"탑배승진,정글지범진,미드박상호,원딜이창호,서폿김규철")</f>
        <v>탑배승진,정글지범진,미드박상호,원딜이창호,서폿김규철</v>
      </c>
    </row>
    <row r="189" spans="1:15" ht="12.75" x14ac:dyDescent="0.2">
      <c r="A189" s="7">
        <v>46241</v>
      </c>
      <c r="B189" s="1">
        <v>1</v>
      </c>
      <c r="C189" s="1" t="s">
        <v>27</v>
      </c>
      <c r="D189" s="1" t="str">
        <f t="shared" si="2"/>
        <v>패</v>
      </c>
      <c r="E189" s="1" t="s">
        <v>33</v>
      </c>
      <c r="F189" s="1" t="s">
        <v>18</v>
      </c>
      <c r="G189" s="1" t="s">
        <v>108</v>
      </c>
      <c r="H189" s="1">
        <v>5</v>
      </c>
      <c r="I189" s="1">
        <v>7</v>
      </c>
      <c r="J189" s="1">
        <v>9</v>
      </c>
      <c r="K189" s="2">
        <v>33545</v>
      </c>
      <c r="L189" s="2">
        <v>12962</v>
      </c>
      <c r="O189" s="4" t="str">
        <f ca="1">IFERROR(__xludf.DUMMYFUNCTION("TEXTJOIN("","", TRUE, FILTER($E$2:$E1000 &amp; $C$2:$C1000, $A$2:$A1000=A189, $B$2:$B1000=B189, $D$2:$D1000&lt;&gt;D189))"),"탑배승진,정글지범진,미드박상호,원딜이창호,서폿김규철")</f>
        <v>탑배승진,정글지범진,미드박상호,원딜이창호,서폿김규철</v>
      </c>
    </row>
    <row r="190" spans="1:15" ht="12.75" x14ac:dyDescent="0.2">
      <c r="A190" s="7">
        <v>46241</v>
      </c>
      <c r="B190" s="1">
        <v>1</v>
      </c>
      <c r="C190" s="1" t="s">
        <v>20</v>
      </c>
      <c r="D190" s="1" t="str">
        <f t="shared" si="2"/>
        <v>패</v>
      </c>
      <c r="E190" s="1" t="s">
        <v>33</v>
      </c>
      <c r="F190" s="1" t="s">
        <v>28</v>
      </c>
      <c r="G190" s="1" t="s">
        <v>69</v>
      </c>
      <c r="H190" s="1">
        <v>6</v>
      </c>
      <c r="I190" s="1">
        <v>6</v>
      </c>
      <c r="J190" s="1">
        <v>5</v>
      </c>
      <c r="K190" s="2">
        <v>26312</v>
      </c>
      <c r="L190" s="2">
        <v>13676</v>
      </c>
      <c r="O190" s="4" t="str">
        <f ca="1">IFERROR(__xludf.DUMMYFUNCTION("TEXTJOIN("","", TRUE, FILTER($E$2:$E1000 &amp; $C$2:$C1000, $A$2:$A1000=A190, $B$2:$B1000=B190, $D$2:$D1000&lt;&gt;D190))"),"탑배승진,정글지범진,미드박상호,원딜이창호,서폿김규철")</f>
        <v>탑배승진,정글지범진,미드박상호,원딜이창호,서폿김규철</v>
      </c>
    </row>
    <row r="191" spans="1:15" ht="12.75" x14ac:dyDescent="0.2">
      <c r="A191" s="7">
        <v>46241</v>
      </c>
      <c r="B191" s="1">
        <v>1</v>
      </c>
      <c r="C191" s="1" t="s">
        <v>58</v>
      </c>
      <c r="D191" s="1" t="str">
        <f t="shared" si="2"/>
        <v>패</v>
      </c>
      <c r="E191" s="1" t="s">
        <v>33</v>
      </c>
      <c r="F191" s="1" t="s">
        <v>30</v>
      </c>
      <c r="G191" s="1" t="s">
        <v>88</v>
      </c>
      <c r="H191" s="1">
        <v>1</v>
      </c>
      <c r="I191" s="1">
        <v>8</v>
      </c>
      <c r="J191" s="1">
        <v>10</v>
      </c>
      <c r="K191" s="2">
        <v>4375</v>
      </c>
      <c r="L191" s="2">
        <v>7298</v>
      </c>
      <c r="O191" s="4" t="str">
        <f ca="1">IFERROR(__xludf.DUMMYFUNCTION("TEXTJOIN("","", TRUE, FILTER($E$2:$E1000 &amp; $C$2:$C1000, $A$2:$A1000=A191, $B$2:$B1000=B191, $D$2:$D1000&lt;&gt;D191))"),"탑배승진,정글지범진,미드박상호,원딜이창호,서폿김규철")</f>
        <v>탑배승진,정글지범진,미드박상호,원딜이창호,서폿김규철</v>
      </c>
    </row>
    <row r="192" spans="1:15" ht="12.75" x14ac:dyDescent="0.2">
      <c r="A192" s="7">
        <v>46241</v>
      </c>
      <c r="B192" s="1">
        <v>2</v>
      </c>
      <c r="C192" s="1" t="s">
        <v>53</v>
      </c>
      <c r="D192" s="1" t="str">
        <f t="shared" si="2"/>
        <v/>
      </c>
      <c r="E192" s="1" t="s">
        <v>33</v>
      </c>
      <c r="F192" s="1" t="s">
        <v>16</v>
      </c>
      <c r="G192" s="1" t="s">
        <v>109</v>
      </c>
      <c r="H192" s="1">
        <v>2</v>
      </c>
      <c r="I192" s="1">
        <v>8</v>
      </c>
      <c r="J192" s="1">
        <v>3</v>
      </c>
      <c r="K192" s="2">
        <v>11418</v>
      </c>
      <c r="L192" s="2">
        <v>8703</v>
      </c>
      <c r="O192" s="4" t="str">
        <f ca="1">IFERROR(__xludf.DUMMYFUNCTION("TEXTJOIN("","", TRUE, FILTER($E$2:$E1000 &amp; $C$2:$C1000, $A$2:$A1000=A192, $B$2:$B1000=B192, $D$2:$D1000&lt;&gt;D192))"),"탑박원준,정글이진건,미드정용운,원딜이세환,서폿김광유")</f>
        <v>탑박원준,정글이진건,미드정용운,원딜이세환,서폿김광유</v>
      </c>
    </row>
    <row r="193" spans="1:15" ht="12.75" x14ac:dyDescent="0.2">
      <c r="A193" s="7">
        <v>46241</v>
      </c>
      <c r="B193" s="1">
        <v>2</v>
      </c>
      <c r="C193" s="1" t="s">
        <v>21</v>
      </c>
      <c r="D193" s="1" t="str">
        <f t="shared" si="2"/>
        <v/>
      </c>
      <c r="E193" s="1" t="s">
        <v>33</v>
      </c>
      <c r="F193" s="1" t="s">
        <v>22</v>
      </c>
      <c r="G193" s="1" t="s">
        <v>87</v>
      </c>
      <c r="H193" s="1">
        <v>1</v>
      </c>
      <c r="I193" s="1">
        <v>6</v>
      </c>
      <c r="J193" s="1">
        <v>7</v>
      </c>
      <c r="K193" s="2">
        <v>11457</v>
      </c>
      <c r="L193" s="2">
        <v>9308</v>
      </c>
      <c r="O193" s="4" t="str">
        <f ca="1">IFERROR(__xludf.DUMMYFUNCTION("TEXTJOIN("","", TRUE, FILTER($E$2:$E1000 &amp; $C$2:$C1000, $A$2:$A1000=A193, $B$2:$B1000=B193, $D$2:$D1000&lt;&gt;D193))"),"탑박원준,정글이진건,미드정용운,원딜이세환,서폿김광유")</f>
        <v>탑박원준,정글이진건,미드정용운,원딜이세환,서폿김광유</v>
      </c>
    </row>
    <row r="194" spans="1:15" ht="12.75" x14ac:dyDescent="0.2">
      <c r="A194" s="7">
        <v>46241</v>
      </c>
      <c r="B194" s="1">
        <v>2</v>
      </c>
      <c r="C194" s="1" t="s">
        <v>14</v>
      </c>
      <c r="D194" s="1" t="str">
        <f t="shared" si="2"/>
        <v/>
      </c>
      <c r="E194" s="1" t="s">
        <v>33</v>
      </c>
      <c r="F194" s="1" t="s">
        <v>18</v>
      </c>
      <c r="G194" s="1" t="s">
        <v>24</v>
      </c>
      <c r="H194" s="1">
        <v>2</v>
      </c>
      <c r="I194" s="1">
        <v>7</v>
      </c>
      <c r="J194" s="1">
        <v>1</v>
      </c>
      <c r="K194" s="2">
        <v>19550</v>
      </c>
      <c r="L194" s="2">
        <v>9517</v>
      </c>
      <c r="O194" s="4" t="str">
        <f ca="1">IFERROR(__xludf.DUMMYFUNCTION("TEXTJOIN("","", TRUE, FILTER($E$2:$E1000 &amp; $C$2:$C1000, $A$2:$A1000=A194, $B$2:$B1000=B194, $D$2:$D1000&lt;&gt;D194))"),"탑박원준,정글이진건,미드정용운,원딜이세환,서폿김광유")</f>
        <v>탑박원준,정글이진건,미드정용운,원딜이세환,서폿김광유</v>
      </c>
    </row>
    <row r="195" spans="1:15" ht="12.75" x14ac:dyDescent="0.2">
      <c r="A195" s="7">
        <v>46241</v>
      </c>
      <c r="B195" s="1">
        <v>2</v>
      </c>
      <c r="C195" s="1" t="s">
        <v>38</v>
      </c>
      <c r="D195" s="1" t="str">
        <f t="shared" ref="D195:D258" si="3">IF(B195=1,IF(COUNTIFS(A:A,A195,C:C,C195,E:E,"승")&gt;COUNTIFS(A:A,A195,C:C,C195,E:E,"패"),"승",IF(COUNTIFS(A:A,A195,C:C,C195,E:E,"승")&lt;COUNTIFS(A:A,A195,C:C,C195,E:E,"패"),"패","무승부")),"")</f>
        <v/>
      </c>
      <c r="E195" s="1" t="s">
        <v>33</v>
      </c>
      <c r="F195" s="1" t="s">
        <v>28</v>
      </c>
      <c r="G195" s="1" t="s">
        <v>90</v>
      </c>
      <c r="H195" s="1">
        <v>9</v>
      </c>
      <c r="I195" s="1">
        <v>4</v>
      </c>
      <c r="J195" s="1">
        <v>1</v>
      </c>
      <c r="K195" s="2">
        <v>21576</v>
      </c>
      <c r="L195" s="2">
        <v>12404</v>
      </c>
      <c r="O195" s="4" t="str">
        <f ca="1">IFERROR(__xludf.DUMMYFUNCTION("TEXTJOIN("","", TRUE, FILTER($E$2:$E1000 &amp; $C$2:$C1000, $A$2:$A1000=A195, $B$2:$B1000=B195, $D$2:$D1000&lt;&gt;D195))"),"탑박원준,정글이진건,미드정용운,원딜이세환,서폿김광유")</f>
        <v>탑박원준,정글이진건,미드정용운,원딜이세환,서폿김광유</v>
      </c>
    </row>
    <row r="196" spans="1:15" ht="12.75" x14ac:dyDescent="0.2">
      <c r="A196" s="7">
        <v>46241</v>
      </c>
      <c r="B196" s="1">
        <v>2</v>
      </c>
      <c r="C196" s="1" t="s">
        <v>54</v>
      </c>
      <c r="D196" s="1" t="str">
        <f t="shared" si="3"/>
        <v/>
      </c>
      <c r="E196" s="1" t="s">
        <v>33</v>
      </c>
      <c r="F196" s="1" t="s">
        <v>30</v>
      </c>
      <c r="G196" s="1" t="s">
        <v>70</v>
      </c>
      <c r="H196" s="1">
        <v>0</v>
      </c>
      <c r="I196" s="1">
        <v>8</v>
      </c>
      <c r="J196" s="1">
        <v>12</v>
      </c>
      <c r="K196" s="2">
        <v>7792</v>
      </c>
      <c r="L196" s="2">
        <v>6920</v>
      </c>
      <c r="O196" s="4" t="str">
        <f ca="1">IFERROR(__xludf.DUMMYFUNCTION("TEXTJOIN("","", TRUE, FILTER($E$2:$E1000 &amp; $C$2:$C1000, $A$2:$A1000=A196, $B$2:$B1000=B196, $D$2:$D1000&lt;&gt;D196))"),"탑박원준,정글이진건,미드정용운,원딜이세환,서폿김광유")</f>
        <v>탑박원준,정글이진건,미드정용운,원딜이세환,서폿김광유</v>
      </c>
    </row>
    <row r="197" spans="1:15" ht="12.75" x14ac:dyDescent="0.2">
      <c r="A197" s="7">
        <v>46241</v>
      </c>
      <c r="B197" s="1">
        <v>2</v>
      </c>
      <c r="C197" s="1" t="s">
        <v>56</v>
      </c>
      <c r="D197" s="1" t="str">
        <f t="shared" si="3"/>
        <v/>
      </c>
      <c r="E197" s="1" t="s">
        <v>15</v>
      </c>
      <c r="F197" s="1" t="s">
        <v>16</v>
      </c>
      <c r="G197" s="1" t="s">
        <v>110</v>
      </c>
      <c r="H197" s="1">
        <v>9</v>
      </c>
      <c r="I197" s="1">
        <v>0</v>
      </c>
      <c r="J197" s="1">
        <v>8</v>
      </c>
      <c r="K197" s="2">
        <v>24815</v>
      </c>
      <c r="L197" s="2">
        <v>12997</v>
      </c>
      <c r="O197" s="4" t="str">
        <f ca="1">IFERROR(__xludf.DUMMYFUNCTION("TEXTJOIN("","", TRUE, FILTER($E$2:$E1000 &amp; $C$2:$C1000, $A$2:$A1000=A197, $B$2:$B1000=B197, $D$2:$D1000&lt;&gt;D197))"),"탑배승진,정글지범진,미드박상호,원딜이창호,서폿김규철")</f>
        <v>탑배승진,정글지범진,미드박상호,원딜이창호,서폿김규철</v>
      </c>
    </row>
    <row r="198" spans="1:15" ht="12.75" x14ac:dyDescent="0.2">
      <c r="A198" s="7">
        <v>46241</v>
      </c>
      <c r="B198" s="1">
        <v>2</v>
      </c>
      <c r="C198" s="1" t="s">
        <v>42</v>
      </c>
      <c r="D198" s="1" t="str">
        <f t="shared" si="3"/>
        <v/>
      </c>
      <c r="E198" s="1" t="s">
        <v>15</v>
      </c>
      <c r="F198" s="1" t="s">
        <v>22</v>
      </c>
      <c r="G198" s="1" t="s">
        <v>23</v>
      </c>
      <c r="H198" s="1">
        <v>7</v>
      </c>
      <c r="I198" s="1">
        <v>3</v>
      </c>
      <c r="J198" s="1">
        <v>16</v>
      </c>
      <c r="K198" s="2">
        <v>21757</v>
      </c>
      <c r="L198" s="2">
        <v>13273</v>
      </c>
      <c r="O198" s="4" t="str">
        <f ca="1">IFERROR(__xludf.DUMMYFUNCTION("TEXTJOIN("","", TRUE, FILTER($E$2:$E1000 &amp; $C$2:$C1000, $A$2:$A1000=A198, $B$2:$B1000=B198, $D$2:$D1000&lt;&gt;D198))"),"탑배승진,정글지범진,미드박상호,원딜이창호,서폿김규철")</f>
        <v>탑배승진,정글지범진,미드박상호,원딜이창호,서폿김규철</v>
      </c>
    </row>
    <row r="199" spans="1:15" ht="12.75" x14ac:dyDescent="0.2">
      <c r="A199" s="7">
        <v>46241</v>
      </c>
      <c r="B199" s="1">
        <v>2</v>
      </c>
      <c r="C199" s="1" t="s">
        <v>27</v>
      </c>
      <c r="D199" s="1" t="str">
        <f t="shared" si="3"/>
        <v/>
      </c>
      <c r="E199" s="1" t="s">
        <v>15</v>
      </c>
      <c r="F199" s="1" t="s">
        <v>18</v>
      </c>
      <c r="G199" s="1" t="s">
        <v>111</v>
      </c>
      <c r="H199" s="1">
        <v>13</v>
      </c>
      <c r="I199" s="1">
        <v>0</v>
      </c>
      <c r="J199" s="1">
        <v>11</v>
      </c>
      <c r="K199" s="2">
        <v>36044</v>
      </c>
      <c r="L199" s="2">
        <v>15296</v>
      </c>
      <c r="O199" s="4" t="str">
        <f ca="1">IFERROR(__xludf.DUMMYFUNCTION("TEXTJOIN("","", TRUE, FILTER($E$2:$E1000 &amp; $C$2:$C1000, $A$2:$A1000=A199, $B$2:$B1000=B199, $D$2:$D1000&lt;&gt;D199))"),"탑배승진,정글지범진,미드박상호,원딜이창호,서폿김규철")</f>
        <v>탑배승진,정글지범진,미드박상호,원딜이창호,서폿김규철</v>
      </c>
    </row>
    <row r="200" spans="1:15" ht="12.75" x14ac:dyDescent="0.2">
      <c r="A200" s="7">
        <v>46241</v>
      </c>
      <c r="B200" s="1">
        <v>2</v>
      </c>
      <c r="C200" s="1" t="s">
        <v>20</v>
      </c>
      <c r="D200" s="1" t="str">
        <f t="shared" si="3"/>
        <v/>
      </c>
      <c r="E200" s="1" t="s">
        <v>15</v>
      </c>
      <c r="F200" s="1" t="s">
        <v>28</v>
      </c>
      <c r="G200" s="1" t="s">
        <v>112</v>
      </c>
      <c r="H200" s="1">
        <v>3</v>
      </c>
      <c r="I200" s="1">
        <v>5</v>
      </c>
      <c r="J200" s="1">
        <v>11</v>
      </c>
      <c r="K200" s="2">
        <v>16484</v>
      </c>
      <c r="L200" s="2">
        <v>12780</v>
      </c>
      <c r="O200" s="4" t="str">
        <f ca="1">IFERROR(__xludf.DUMMYFUNCTION("TEXTJOIN("","", TRUE, FILTER($E$2:$E1000 &amp; $C$2:$C1000, $A$2:$A1000=A200, $B$2:$B1000=B200, $D$2:$D1000&lt;&gt;D200))"),"탑배승진,정글지범진,미드박상호,원딜이창호,서폿김규철")</f>
        <v>탑배승진,정글지범진,미드박상호,원딜이창호,서폿김규철</v>
      </c>
    </row>
    <row r="201" spans="1:15" ht="12.75" x14ac:dyDescent="0.2">
      <c r="A201" s="7">
        <v>46241</v>
      </c>
      <c r="B201" s="1">
        <v>2</v>
      </c>
      <c r="C201" s="1" t="s">
        <v>58</v>
      </c>
      <c r="D201" s="1" t="str">
        <f t="shared" si="3"/>
        <v/>
      </c>
      <c r="E201" s="1" t="s">
        <v>15</v>
      </c>
      <c r="F201" s="1" t="s">
        <v>30</v>
      </c>
      <c r="G201" s="1" t="s">
        <v>88</v>
      </c>
      <c r="H201" s="1">
        <v>1</v>
      </c>
      <c r="I201" s="1">
        <v>6</v>
      </c>
      <c r="J201" s="1">
        <v>6</v>
      </c>
      <c r="K201" s="2">
        <v>3231</v>
      </c>
      <c r="L201" s="2">
        <v>6327</v>
      </c>
      <c r="O201" s="4" t="str">
        <f ca="1">IFERROR(__xludf.DUMMYFUNCTION("TEXTJOIN("","", TRUE, FILTER($E$2:$E1000 &amp; $C$2:$C1000, $A$2:$A1000=A201, $B$2:$B1000=B201, $D$2:$D1000&lt;&gt;D201))"),"탑배승진,정글지범진,미드박상호,원딜이창호,서폿김규철")</f>
        <v>탑배승진,정글지범진,미드박상호,원딜이창호,서폿김규철</v>
      </c>
    </row>
    <row r="202" spans="1:15" ht="12.75" x14ac:dyDescent="0.2">
      <c r="A202" s="7">
        <v>46241</v>
      </c>
      <c r="B202" s="1">
        <v>3</v>
      </c>
      <c r="C202" s="1" t="s">
        <v>53</v>
      </c>
      <c r="D202" s="1" t="str">
        <f t="shared" si="3"/>
        <v/>
      </c>
      <c r="E202" s="1" t="s">
        <v>15</v>
      </c>
      <c r="F202" s="1" t="s">
        <v>16</v>
      </c>
      <c r="G202" s="1" t="s">
        <v>87</v>
      </c>
      <c r="H202" s="1">
        <v>10</v>
      </c>
      <c r="I202" s="1">
        <v>8</v>
      </c>
      <c r="J202" s="1">
        <v>16</v>
      </c>
      <c r="K202" s="2">
        <v>29594</v>
      </c>
      <c r="L202" s="2">
        <v>16582</v>
      </c>
      <c r="O202" s="4" t="str">
        <f ca="1">IFERROR(__xludf.DUMMYFUNCTION("TEXTJOIN("","", TRUE, FILTER($E$2:$E1000 &amp; $C$2:$C1000, $A$2:$A1000=A202, $B$2:$B1000=B202, $D$2:$D1000&lt;&gt;D202))"),"탑박원준,정글이진건,미드정용운,원딜이세환,서폿김광유")</f>
        <v>탑박원준,정글이진건,미드정용운,원딜이세환,서폿김광유</v>
      </c>
    </row>
    <row r="203" spans="1:15" ht="12.75" x14ac:dyDescent="0.2">
      <c r="A203" s="7">
        <v>46241</v>
      </c>
      <c r="B203" s="1">
        <v>3</v>
      </c>
      <c r="C203" s="1" t="s">
        <v>21</v>
      </c>
      <c r="D203" s="1" t="str">
        <f t="shared" si="3"/>
        <v/>
      </c>
      <c r="E203" s="1" t="s">
        <v>15</v>
      </c>
      <c r="F203" s="1" t="s">
        <v>22</v>
      </c>
      <c r="G203" s="1" t="s">
        <v>113</v>
      </c>
      <c r="H203" s="1">
        <v>13</v>
      </c>
      <c r="I203" s="1">
        <v>9</v>
      </c>
      <c r="J203" s="1">
        <v>21</v>
      </c>
      <c r="K203" s="2">
        <v>42987</v>
      </c>
      <c r="L203" s="2">
        <v>19705</v>
      </c>
      <c r="O203" s="4" t="str">
        <f ca="1">IFERROR(__xludf.DUMMYFUNCTION("TEXTJOIN("","", TRUE, FILTER($E$2:$E1000 &amp; $C$2:$C1000, $A$2:$A1000=A203, $B$2:$B1000=B203, $D$2:$D1000&lt;&gt;D203))"),"탑박원준,정글이진건,미드정용운,원딜이세환,서폿김광유")</f>
        <v>탑박원준,정글이진건,미드정용운,원딜이세환,서폿김광유</v>
      </c>
    </row>
    <row r="204" spans="1:15" ht="12.75" x14ac:dyDescent="0.2">
      <c r="A204" s="7">
        <v>46241</v>
      </c>
      <c r="B204" s="1">
        <v>3</v>
      </c>
      <c r="C204" s="1" t="s">
        <v>14</v>
      </c>
      <c r="D204" s="1" t="str">
        <f t="shared" si="3"/>
        <v/>
      </c>
      <c r="E204" s="1" t="s">
        <v>15</v>
      </c>
      <c r="F204" s="1" t="s">
        <v>18</v>
      </c>
      <c r="G204" s="1" t="s">
        <v>19</v>
      </c>
      <c r="H204" s="1">
        <v>7</v>
      </c>
      <c r="I204" s="1">
        <v>13</v>
      </c>
      <c r="J204" s="1">
        <v>20</v>
      </c>
      <c r="K204" s="2">
        <v>49028</v>
      </c>
      <c r="L204" s="2">
        <v>17993</v>
      </c>
      <c r="O204" s="4" t="str">
        <f ca="1">IFERROR(__xludf.DUMMYFUNCTION("TEXTJOIN("","", TRUE, FILTER($E$2:$E1000 &amp; $C$2:$C1000, $A$2:$A1000=A204, $B$2:$B1000=B204, $D$2:$D1000&lt;&gt;D204))"),"탑박원준,정글이진건,미드정용운,원딜이세환,서폿김광유")</f>
        <v>탑박원준,정글이진건,미드정용운,원딜이세환,서폿김광유</v>
      </c>
    </row>
    <row r="205" spans="1:15" ht="12.75" x14ac:dyDescent="0.2">
      <c r="A205" s="7">
        <v>46241</v>
      </c>
      <c r="B205" s="1">
        <v>3</v>
      </c>
      <c r="C205" s="1" t="s">
        <v>38</v>
      </c>
      <c r="D205" s="1" t="str">
        <f t="shared" si="3"/>
        <v/>
      </c>
      <c r="E205" s="1" t="s">
        <v>15</v>
      </c>
      <c r="F205" s="1" t="s">
        <v>28</v>
      </c>
      <c r="G205" s="1" t="s">
        <v>55</v>
      </c>
      <c r="H205" s="1">
        <v>14</v>
      </c>
      <c r="I205" s="1">
        <v>10</v>
      </c>
      <c r="J205" s="1">
        <v>16</v>
      </c>
      <c r="K205" s="2">
        <v>50215</v>
      </c>
      <c r="L205" s="2">
        <v>23800</v>
      </c>
      <c r="O205" s="4" t="str">
        <f ca="1">IFERROR(__xludf.DUMMYFUNCTION("TEXTJOIN("","", TRUE, FILTER($E$2:$E1000 &amp; $C$2:$C1000, $A$2:$A1000=A205, $B$2:$B1000=B205, $D$2:$D1000&lt;&gt;D205))"),"탑박원준,정글이진건,미드정용운,원딜이세환,서폿김광유")</f>
        <v>탑박원준,정글이진건,미드정용운,원딜이세환,서폿김광유</v>
      </c>
    </row>
    <row r="206" spans="1:15" ht="12.75" x14ac:dyDescent="0.2">
      <c r="A206" s="7">
        <v>46241</v>
      </c>
      <c r="B206" s="1">
        <v>3</v>
      </c>
      <c r="C206" s="1" t="s">
        <v>54</v>
      </c>
      <c r="D206" s="1" t="str">
        <f t="shared" si="3"/>
        <v/>
      </c>
      <c r="E206" s="1" t="s">
        <v>15</v>
      </c>
      <c r="F206" s="1" t="s">
        <v>30</v>
      </c>
      <c r="G206" s="1" t="s">
        <v>81</v>
      </c>
      <c r="H206" s="1">
        <v>2</v>
      </c>
      <c r="I206" s="1">
        <v>10</v>
      </c>
      <c r="J206" s="1">
        <v>30</v>
      </c>
      <c r="K206" s="2">
        <v>12284</v>
      </c>
      <c r="L206" s="2">
        <v>12346</v>
      </c>
      <c r="O206" s="4" t="str">
        <f ca="1">IFERROR(__xludf.DUMMYFUNCTION("TEXTJOIN("","", TRUE, FILTER($E$2:$E1000 &amp; $C$2:$C1000, $A$2:$A1000=A206, $B$2:$B1000=B206, $D$2:$D1000&lt;&gt;D206))"),"탑박원준,정글이진건,미드정용운,원딜이세환,서폿김광유")</f>
        <v>탑박원준,정글이진건,미드정용운,원딜이세환,서폿김광유</v>
      </c>
    </row>
    <row r="207" spans="1:15" ht="12.75" x14ac:dyDescent="0.2">
      <c r="A207" s="7">
        <v>46241</v>
      </c>
      <c r="B207" s="1">
        <v>3</v>
      </c>
      <c r="C207" s="1" t="s">
        <v>56</v>
      </c>
      <c r="D207" s="1" t="str">
        <f t="shared" si="3"/>
        <v/>
      </c>
      <c r="E207" s="1" t="s">
        <v>33</v>
      </c>
      <c r="F207" s="1" t="s">
        <v>16</v>
      </c>
      <c r="G207" s="1" t="s">
        <v>99</v>
      </c>
      <c r="H207" s="1">
        <v>9</v>
      </c>
      <c r="I207" s="1">
        <v>11</v>
      </c>
      <c r="J207" s="1">
        <v>12</v>
      </c>
      <c r="K207" s="2">
        <v>44963</v>
      </c>
      <c r="L207" s="2">
        <v>14779</v>
      </c>
      <c r="O207" s="4" t="str">
        <f ca="1">IFERROR(__xludf.DUMMYFUNCTION("TEXTJOIN("","", TRUE, FILTER($E$2:$E1000 &amp; $C$2:$C1000, $A$2:$A1000=A207, $B$2:$B1000=B207, $D$2:$D1000&lt;&gt;D207))"),"탑배승진,정글지범진,미드박상호,원딜이창호,서폿김규철")</f>
        <v>탑배승진,정글지범진,미드박상호,원딜이창호,서폿김규철</v>
      </c>
    </row>
    <row r="208" spans="1:15" ht="12.75" x14ac:dyDescent="0.2">
      <c r="A208" s="7">
        <v>46241</v>
      </c>
      <c r="B208" s="1">
        <v>3</v>
      </c>
      <c r="C208" s="1" t="s">
        <v>42</v>
      </c>
      <c r="D208" s="1" t="str">
        <f t="shared" si="3"/>
        <v/>
      </c>
      <c r="E208" s="1" t="s">
        <v>33</v>
      </c>
      <c r="F208" s="1" t="s">
        <v>22</v>
      </c>
      <c r="G208" s="1" t="s">
        <v>114</v>
      </c>
      <c r="H208" s="1">
        <v>16</v>
      </c>
      <c r="I208" s="1">
        <v>8</v>
      </c>
      <c r="J208" s="1">
        <v>16</v>
      </c>
      <c r="K208" s="2">
        <v>33733</v>
      </c>
      <c r="L208" s="2">
        <v>20543</v>
      </c>
      <c r="O208" s="4" t="str">
        <f ca="1">IFERROR(__xludf.DUMMYFUNCTION("TEXTJOIN("","", TRUE, FILTER($E$2:$E1000 &amp; $C$2:$C1000, $A$2:$A1000=A208, $B$2:$B1000=B208, $D$2:$D1000&lt;&gt;D208))"),"탑배승진,정글지범진,미드박상호,원딜이창호,서폿김규철")</f>
        <v>탑배승진,정글지범진,미드박상호,원딜이창호,서폿김규철</v>
      </c>
    </row>
    <row r="209" spans="1:15" ht="12.75" x14ac:dyDescent="0.2">
      <c r="A209" s="7">
        <v>46241</v>
      </c>
      <c r="B209" s="1">
        <v>3</v>
      </c>
      <c r="C209" s="1" t="s">
        <v>27</v>
      </c>
      <c r="D209" s="1" t="str">
        <f t="shared" si="3"/>
        <v/>
      </c>
      <c r="E209" s="1" t="s">
        <v>33</v>
      </c>
      <c r="F209" s="1" t="s">
        <v>18</v>
      </c>
      <c r="G209" s="1" t="s">
        <v>73</v>
      </c>
      <c r="H209" s="1">
        <v>9</v>
      </c>
      <c r="I209" s="1">
        <v>10</v>
      </c>
      <c r="J209" s="1">
        <v>17</v>
      </c>
      <c r="K209" s="2">
        <v>59873</v>
      </c>
      <c r="L209" s="2">
        <v>17984</v>
      </c>
      <c r="O209" s="4" t="str">
        <f ca="1">IFERROR(__xludf.DUMMYFUNCTION("TEXTJOIN("","", TRUE, FILTER($E$2:$E1000 &amp; $C$2:$C1000, $A$2:$A1000=A209, $B$2:$B1000=B209, $D$2:$D1000&lt;&gt;D209))"),"탑배승진,정글지범진,미드박상호,원딜이창호,서폿김규철")</f>
        <v>탑배승진,정글지범진,미드박상호,원딜이창호,서폿김규철</v>
      </c>
    </row>
    <row r="210" spans="1:15" ht="12.75" x14ac:dyDescent="0.2">
      <c r="A210" s="7">
        <v>46241</v>
      </c>
      <c r="B210" s="1">
        <v>3</v>
      </c>
      <c r="C210" s="1" t="s">
        <v>20</v>
      </c>
      <c r="D210" s="1" t="str">
        <f t="shared" si="3"/>
        <v/>
      </c>
      <c r="E210" s="1" t="s">
        <v>33</v>
      </c>
      <c r="F210" s="1" t="s">
        <v>28</v>
      </c>
      <c r="G210" s="1" t="s">
        <v>115</v>
      </c>
      <c r="H210" s="1">
        <v>16</v>
      </c>
      <c r="I210" s="1">
        <v>4</v>
      </c>
      <c r="J210" s="1">
        <v>18</v>
      </c>
      <c r="K210" s="2">
        <v>84922</v>
      </c>
      <c r="L210" s="2">
        <v>24443</v>
      </c>
      <c r="O210" s="4" t="str">
        <f ca="1">IFERROR(__xludf.DUMMYFUNCTION("TEXTJOIN("","", TRUE, FILTER($E$2:$E1000 &amp; $C$2:$C1000, $A$2:$A1000=A210, $B$2:$B1000=B210, $D$2:$D1000&lt;&gt;D210))"),"탑배승진,정글지범진,미드박상호,원딜이창호,서폿김규철")</f>
        <v>탑배승진,정글지범진,미드박상호,원딜이창호,서폿김규철</v>
      </c>
    </row>
    <row r="211" spans="1:15" ht="12.75" x14ac:dyDescent="0.2">
      <c r="A211" s="7">
        <v>46241</v>
      </c>
      <c r="B211" s="1">
        <v>3</v>
      </c>
      <c r="C211" s="1" t="s">
        <v>58</v>
      </c>
      <c r="D211" s="1" t="str">
        <f t="shared" si="3"/>
        <v/>
      </c>
      <c r="E211" s="1" t="s">
        <v>33</v>
      </c>
      <c r="F211" s="1" t="s">
        <v>30</v>
      </c>
      <c r="G211" s="1" t="s">
        <v>88</v>
      </c>
      <c r="H211" s="1">
        <v>0</v>
      </c>
      <c r="I211" s="1">
        <v>13</v>
      </c>
      <c r="J211" s="1">
        <v>20</v>
      </c>
      <c r="K211" s="2">
        <v>10196</v>
      </c>
      <c r="L211" s="2">
        <v>9882</v>
      </c>
      <c r="O211" s="4" t="str">
        <f ca="1">IFERROR(__xludf.DUMMYFUNCTION("TEXTJOIN("","", TRUE, FILTER($E$2:$E1000 &amp; $C$2:$C1000, $A$2:$A1000=A211, $B$2:$B1000=B211, $D$2:$D1000&lt;&gt;D211))"),"탑배승진,정글지범진,미드박상호,원딜이창호,서폿김규철")</f>
        <v>탑배승진,정글지범진,미드박상호,원딜이창호,서폿김규철</v>
      </c>
    </row>
    <row r="212" spans="1:15" ht="12.75" x14ac:dyDescent="0.2">
      <c r="A212" s="7">
        <v>46276</v>
      </c>
      <c r="B212" s="1">
        <v>1</v>
      </c>
      <c r="C212" s="1" t="s">
        <v>42</v>
      </c>
      <c r="D212" s="1" t="str">
        <f t="shared" si="3"/>
        <v>승</v>
      </c>
      <c r="E212" s="1" t="s">
        <v>15</v>
      </c>
      <c r="F212" s="1" t="s">
        <v>16</v>
      </c>
      <c r="G212" s="1" t="s">
        <v>23</v>
      </c>
      <c r="H212" s="1">
        <v>2</v>
      </c>
      <c r="I212" s="1">
        <v>2</v>
      </c>
      <c r="J212" s="1">
        <v>15</v>
      </c>
      <c r="K212" s="2">
        <v>28658</v>
      </c>
      <c r="L212" s="2">
        <v>11363</v>
      </c>
      <c r="O212" s="4" t="str">
        <f ca="1">IFERROR(__xludf.DUMMYFUNCTION("TEXTJOIN("","", TRUE, FILTER($E$2:$E1000 &amp; $C$2:$C1000, $A$2:$A1000=A212, $B$2:$B1000=B212, $D$2:$D1000&lt;&gt;D212))"),"탑박원준,정글심재현,미드정용운,원딜천규환,서폿이세환")</f>
        <v>탑박원준,정글심재현,미드정용운,원딜천규환,서폿이세환</v>
      </c>
    </row>
    <row r="213" spans="1:15" ht="12.75" x14ac:dyDescent="0.2">
      <c r="A213" s="7">
        <v>46276</v>
      </c>
      <c r="B213" s="1">
        <v>1</v>
      </c>
      <c r="C213" s="1" t="s">
        <v>44</v>
      </c>
      <c r="D213" s="1" t="str">
        <f t="shared" si="3"/>
        <v>승</v>
      </c>
      <c r="E213" s="1" t="s">
        <v>15</v>
      </c>
      <c r="F213" s="1" t="s">
        <v>22</v>
      </c>
      <c r="G213" s="1" t="s">
        <v>116</v>
      </c>
      <c r="H213" s="1">
        <v>12</v>
      </c>
      <c r="I213" s="1">
        <v>6</v>
      </c>
      <c r="J213" s="1">
        <v>13</v>
      </c>
      <c r="K213" s="2">
        <v>24906</v>
      </c>
      <c r="L213" s="6"/>
      <c r="O213" s="4" t="str">
        <f ca="1">IFERROR(__xludf.DUMMYFUNCTION("TEXTJOIN("","", TRUE, FILTER($E$2:$E1000 &amp; $C$2:$C1000, $A$2:$A1000=A213, $B$2:$B1000=B213, $D$2:$D1000&lt;&gt;D213))"),"탑박원준,정글심재현,미드정용운,원딜천규환,서폿이세환")</f>
        <v>탑박원준,정글심재현,미드정용운,원딜천규환,서폿이세환</v>
      </c>
    </row>
    <row r="214" spans="1:15" ht="12.75" x14ac:dyDescent="0.2">
      <c r="A214" s="7">
        <v>46276</v>
      </c>
      <c r="B214" s="1">
        <v>1</v>
      </c>
      <c r="C214" s="1" t="s">
        <v>14</v>
      </c>
      <c r="D214" s="1" t="str">
        <f t="shared" si="3"/>
        <v>승</v>
      </c>
      <c r="E214" s="1" t="s">
        <v>15</v>
      </c>
      <c r="F214" s="1" t="s">
        <v>18</v>
      </c>
      <c r="G214" s="1" t="s">
        <v>17</v>
      </c>
      <c r="H214" s="1">
        <v>12</v>
      </c>
      <c r="I214" s="1">
        <v>5</v>
      </c>
      <c r="J214" s="1">
        <v>10</v>
      </c>
      <c r="K214" s="2">
        <v>40699</v>
      </c>
      <c r="L214" s="2">
        <v>14984</v>
      </c>
      <c r="O214" s="4" t="str">
        <f ca="1">IFERROR(__xludf.DUMMYFUNCTION("TEXTJOIN("","", TRUE, FILTER($E$2:$E1000 &amp; $C$2:$C1000, $A$2:$A1000=A214, $B$2:$B1000=B214, $D$2:$D1000&lt;&gt;D214))"),"탑박원준,정글심재현,미드정용운,원딜천규환,서폿이세환")</f>
        <v>탑박원준,정글심재현,미드정용운,원딜천규환,서폿이세환</v>
      </c>
    </row>
    <row r="215" spans="1:15" ht="12.75" x14ac:dyDescent="0.2">
      <c r="A215" s="7">
        <v>46276</v>
      </c>
      <c r="B215" s="1">
        <v>1</v>
      </c>
      <c r="C215" s="1" t="s">
        <v>38</v>
      </c>
      <c r="D215" s="1" t="str">
        <f t="shared" si="3"/>
        <v>승</v>
      </c>
      <c r="E215" s="1" t="s">
        <v>15</v>
      </c>
      <c r="F215" s="1" t="s">
        <v>28</v>
      </c>
      <c r="G215" s="1" t="s">
        <v>55</v>
      </c>
      <c r="H215" s="1">
        <v>12</v>
      </c>
      <c r="I215" s="1">
        <v>4</v>
      </c>
      <c r="J215" s="1">
        <v>14</v>
      </c>
      <c r="K215" s="2">
        <v>38179</v>
      </c>
      <c r="L215" s="2">
        <v>17319</v>
      </c>
      <c r="O215" s="4" t="str">
        <f ca="1">IFERROR(__xludf.DUMMYFUNCTION("TEXTJOIN("","", TRUE, FILTER($E$2:$E1000 &amp; $C$2:$C1000, $A$2:$A1000=A215, $B$2:$B1000=B215, $D$2:$D1000&lt;&gt;D215))"),"탑박원준,정글심재현,미드정용운,원딜천규환,서폿이세환")</f>
        <v>탑박원준,정글심재현,미드정용운,원딜천규환,서폿이세환</v>
      </c>
    </row>
    <row r="216" spans="1:15" ht="12.75" x14ac:dyDescent="0.2">
      <c r="A216" s="7">
        <v>46276</v>
      </c>
      <c r="B216" s="1">
        <v>1</v>
      </c>
      <c r="C216" s="1" t="s">
        <v>40</v>
      </c>
      <c r="D216" s="1" t="str">
        <f t="shared" si="3"/>
        <v>승</v>
      </c>
      <c r="E216" s="1" t="s">
        <v>15</v>
      </c>
      <c r="F216" s="1" t="s">
        <v>30</v>
      </c>
      <c r="G216" s="1" t="s">
        <v>57</v>
      </c>
      <c r="H216" s="1">
        <v>1</v>
      </c>
      <c r="I216" s="1">
        <v>7</v>
      </c>
      <c r="J216" s="1">
        <v>27</v>
      </c>
      <c r="K216" s="2">
        <v>13652</v>
      </c>
      <c r="L216" s="2">
        <v>9515</v>
      </c>
      <c r="O216" s="4" t="str">
        <f ca="1">IFERROR(__xludf.DUMMYFUNCTION("TEXTJOIN("","", TRUE, FILTER($E$2:$E1000 &amp; $C$2:$C1000, $A$2:$A1000=A216, $B$2:$B1000=B216, $D$2:$D1000&lt;&gt;D216))"),"탑박원준,정글심재현,미드정용운,원딜천규환,서폿이세환")</f>
        <v>탑박원준,정글심재현,미드정용운,원딜천규환,서폿이세환</v>
      </c>
    </row>
    <row r="217" spans="1:15" ht="12.75" x14ac:dyDescent="0.2">
      <c r="A217" s="7">
        <v>46276</v>
      </c>
      <c r="B217" s="1">
        <v>1</v>
      </c>
      <c r="C217" s="1" t="s">
        <v>56</v>
      </c>
      <c r="D217" s="1" t="str">
        <f t="shared" si="3"/>
        <v>패</v>
      </c>
      <c r="E217" s="1" t="s">
        <v>33</v>
      </c>
      <c r="F217" s="1" t="s">
        <v>16</v>
      </c>
      <c r="G217" s="1" t="s">
        <v>117</v>
      </c>
      <c r="H217" s="1">
        <v>0</v>
      </c>
      <c r="I217" s="1">
        <v>7</v>
      </c>
      <c r="J217" s="1">
        <v>10</v>
      </c>
      <c r="K217" s="2">
        <v>16450</v>
      </c>
      <c r="L217" s="2">
        <v>10546</v>
      </c>
      <c r="O217" s="4" t="str">
        <f ca="1">IFERROR(__xludf.DUMMYFUNCTION("TEXTJOIN("","", TRUE, FILTER($E$2:$E1000 &amp; $C$2:$C1000, $A$2:$A1000=A217, $B$2:$B1000=B217, $D$2:$D1000&lt;&gt;D217))"),"탑이진건,정글이석구,미드박상호,원딜이창호,서폿김현수")</f>
        <v>탑이진건,정글이석구,미드박상호,원딜이창호,서폿김현수</v>
      </c>
    </row>
    <row r="218" spans="1:15" ht="12.75" x14ac:dyDescent="0.2">
      <c r="A218" s="7">
        <v>46276</v>
      </c>
      <c r="B218" s="1">
        <v>1</v>
      </c>
      <c r="C218" s="1" t="s">
        <v>35</v>
      </c>
      <c r="D218" s="1" t="str">
        <f t="shared" si="3"/>
        <v>패</v>
      </c>
      <c r="E218" s="1" t="s">
        <v>33</v>
      </c>
      <c r="F218" s="1" t="s">
        <v>22</v>
      </c>
      <c r="G218" s="1" t="s">
        <v>67</v>
      </c>
      <c r="H218" s="1">
        <v>11</v>
      </c>
      <c r="I218" s="1">
        <v>8</v>
      </c>
      <c r="J218" s="1">
        <v>10</v>
      </c>
      <c r="K218" s="2">
        <v>26628</v>
      </c>
      <c r="L218" s="2">
        <v>14886</v>
      </c>
      <c r="O218" s="4" t="str">
        <f ca="1">IFERROR(__xludf.DUMMYFUNCTION("TEXTJOIN("","", TRUE, FILTER($E$2:$E1000 &amp; $C$2:$C1000, $A$2:$A1000=A218, $B$2:$B1000=B218, $D$2:$D1000&lt;&gt;D218))"),"탑이진건,정글이석구,미드박상호,원딜이창호,서폿김현수")</f>
        <v>탑이진건,정글이석구,미드박상호,원딜이창호,서폿김현수</v>
      </c>
    </row>
    <row r="219" spans="1:15" ht="12.75" x14ac:dyDescent="0.2">
      <c r="A219" s="7">
        <v>46276</v>
      </c>
      <c r="B219" s="1">
        <v>1</v>
      </c>
      <c r="C219" s="1" t="s">
        <v>27</v>
      </c>
      <c r="D219" s="1" t="str">
        <f t="shared" si="3"/>
        <v>패</v>
      </c>
      <c r="E219" s="1" t="s">
        <v>33</v>
      </c>
      <c r="F219" s="1" t="s">
        <v>18</v>
      </c>
      <c r="G219" s="1" t="s">
        <v>36</v>
      </c>
      <c r="H219" s="1">
        <v>4</v>
      </c>
      <c r="I219" s="1">
        <v>7</v>
      </c>
      <c r="J219" s="1">
        <v>9</v>
      </c>
      <c r="K219" s="2">
        <v>15802</v>
      </c>
      <c r="L219" s="2">
        <v>10908</v>
      </c>
      <c r="O219" s="4" t="str">
        <f ca="1">IFERROR(__xludf.DUMMYFUNCTION("TEXTJOIN("","", TRUE, FILTER($E$2:$E1000 &amp; $C$2:$C1000, $A$2:$A1000=A219, $B$2:$B1000=B219, $D$2:$D1000&lt;&gt;D219))"),"탑이진건,정글이석구,미드박상호,원딜이창호,서폿김현수")</f>
        <v>탑이진건,정글이석구,미드박상호,원딜이창호,서폿김현수</v>
      </c>
    </row>
    <row r="220" spans="1:15" ht="12.75" x14ac:dyDescent="0.2">
      <c r="A220" s="7">
        <v>46276</v>
      </c>
      <c r="B220" s="1">
        <v>1</v>
      </c>
      <c r="C220" s="1" t="s">
        <v>51</v>
      </c>
      <c r="D220" s="1" t="str">
        <f t="shared" si="3"/>
        <v>패</v>
      </c>
      <c r="E220" s="1" t="s">
        <v>33</v>
      </c>
      <c r="F220" s="1" t="s">
        <v>28</v>
      </c>
      <c r="G220" s="1" t="s">
        <v>29</v>
      </c>
      <c r="H220" s="1">
        <v>8</v>
      </c>
      <c r="I220" s="1">
        <v>6</v>
      </c>
      <c r="J220" s="1">
        <v>7</v>
      </c>
      <c r="K220" s="2">
        <v>29410</v>
      </c>
      <c r="L220" s="2">
        <v>15346</v>
      </c>
      <c r="O220" s="4" t="str">
        <f ca="1">IFERROR(__xludf.DUMMYFUNCTION("TEXTJOIN("","", TRUE, FILTER($E$2:$E1000 &amp; $C$2:$C1000, $A$2:$A1000=A220, $B$2:$B1000=B220, $D$2:$D1000&lt;&gt;D220))"),"탑이진건,정글이석구,미드박상호,원딜이창호,서폿김현수")</f>
        <v>탑이진건,정글이석구,미드박상호,원딜이창호,서폿김현수</v>
      </c>
    </row>
    <row r="221" spans="1:15" ht="12.75" x14ac:dyDescent="0.2">
      <c r="A221" s="7">
        <v>46276</v>
      </c>
      <c r="B221" s="1">
        <v>1</v>
      </c>
      <c r="C221" s="1" t="s">
        <v>20</v>
      </c>
      <c r="D221" s="1" t="str">
        <f t="shared" si="3"/>
        <v>패</v>
      </c>
      <c r="E221" s="1" t="s">
        <v>33</v>
      </c>
      <c r="F221" s="1" t="s">
        <v>30</v>
      </c>
      <c r="G221" s="1" t="s">
        <v>118</v>
      </c>
      <c r="H221" s="1">
        <v>0</v>
      </c>
      <c r="I221" s="1">
        <v>11</v>
      </c>
      <c r="J221" s="1">
        <v>10</v>
      </c>
      <c r="K221" s="2">
        <v>8587</v>
      </c>
      <c r="L221" s="2">
        <v>7298</v>
      </c>
      <c r="O221" s="4" t="str">
        <f ca="1">IFERROR(__xludf.DUMMYFUNCTION("TEXTJOIN("","", TRUE, FILTER($E$2:$E1000 &amp; $C$2:$C1000, $A$2:$A1000=A221, $B$2:$B1000=B221, $D$2:$D1000&lt;&gt;D221))"),"탑이진건,정글이석구,미드박상호,원딜이창호,서폿김현수")</f>
        <v>탑이진건,정글이석구,미드박상호,원딜이창호,서폿김현수</v>
      </c>
    </row>
    <row r="222" spans="1:15" ht="12.75" x14ac:dyDescent="0.2">
      <c r="A222" s="7">
        <v>46276</v>
      </c>
      <c r="B222" s="1">
        <v>2</v>
      </c>
      <c r="C222" s="1" t="s">
        <v>42</v>
      </c>
      <c r="D222" s="1" t="str">
        <f t="shared" si="3"/>
        <v/>
      </c>
      <c r="E222" s="1" t="s">
        <v>15</v>
      </c>
      <c r="F222" s="1" t="s">
        <v>16</v>
      </c>
      <c r="G222" s="1" t="s">
        <v>78</v>
      </c>
      <c r="H222" s="1">
        <v>2</v>
      </c>
      <c r="I222" s="1">
        <v>4</v>
      </c>
      <c r="J222" s="1">
        <v>8</v>
      </c>
      <c r="K222" s="2">
        <v>21355</v>
      </c>
      <c r="L222" s="2">
        <v>12323</v>
      </c>
      <c r="O222" s="4" t="str">
        <f ca="1">IFERROR(__xludf.DUMMYFUNCTION("TEXTJOIN("","", TRUE, FILTER($E$2:$E1000 &amp; $C$2:$C1000, $A$2:$A1000=A222, $B$2:$B1000=B222, $D$2:$D1000&lt;&gt;D222))"),"탑박원준,정글심재현,미드정용운,원딜천규환,서폿이세환")</f>
        <v>탑박원준,정글심재현,미드정용운,원딜천규환,서폿이세환</v>
      </c>
    </row>
    <row r="223" spans="1:15" ht="12.75" x14ac:dyDescent="0.2">
      <c r="A223" s="7">
        <v>46276</v>
      </c>
      <c r="B223" s="1">
        <v>2</v>
      </c>
      <c r="C223" s="1" t="s">
        <v>44</v>
      </c>
      <c r="D223" s="1" t="str">
        <f t="shared" si="3"/>
        <v/>
      </c>
      <c r="E223" s="1" t="s">
        <v>15</v>
      </c>
      <c r="F223" s="1" t="s">
        <v>22</v>
      </c>
      <c r="G223" s="1" t="s">
        <v>79</v>
      </c>
      <c r="H223" s="1">
        <v>10</v>
      </c>
      <c r="I223" s="1">
        <v>4</v>
      </c>
      <c r="J223" s="1">
        <v>18</v>
      </c>
      <c r="K223" s="2">
        <v>21262</v>
      </c>
      <c r="L223" s="2">
        <v>13212</v>
      </c>
      <c r="O223" s="4" t="str">
        <f ca="1">IFERROR(__xludf.DUMMYFUNCTION("TEXTJOIN("","", TRUE, FILTER($E$2:$E1000 &amp; $C$2:$C1000, $A$2:$A1000=A223, $B$2:$B1000=B223, $D$2:$D1000&lt;&gt;D223))"),"탑박원준,정글심재현,미드정용운,원딜천규환,서폿이세환")</f>
        <v>탑박원준,정글심재현,미드정용운,원딜천규환,서폿이세환</v>
      </c>
    </row>
    <row r="224" spans="1:15" ht="12.75" x14ac:dyDescent="0.2">
      <c r="A224" s="7">
        <v>46276</v>
      </c>
      <c r="B224" s="1">
        <v>2</v>
      </c>
      <c r="C224" s="1" t="s">
        <v>14</v>
      </c>
      <c r="D224" s="1" t="str">
        <f t="shared" si="3"/>
        <v/>
      </c>
      <c r="E224" s="1" t="s">
        <v>15</v>
      </c>
      <c r="F224" s="1" t="s">
        <v>18</v>
      </c>
      <c r="G224" s="1" t="s">
        <v>82</v>
      </c>
      <c r="H224" s="1">
        <v>10</v>
      </c>
      <c r="I224" s="1">
        <v>4</v>
      </c>
      <c r="J224" s="1">
        <v>17</v>
      </c>
      <c r="K224" s="2">
        <v>35150</v>
      </c>
      <c r="L224" s="2">
        <v>15579</v>
      </c>
      <c r="O224" s="4" t="str">
        <f ca="1">IFERROR(__xludf.DUMMYFUNCTION("TEXTJOIN("","", TRUE, FILTER($E$2:$E1000 &amp; $C$2:$C1000, $A$2:$A1000=A224, $B$2:$B1000=B224, $D$2:$D1000&lt;&gt;D224))"),"탑박원준,정글심재현,미드정용운,원딜천규환,서폿이세환")</f>
        <v>탑박원준,정글심재현,미드정용운,원딜천규환,서폿이세환</v>
      </c>
    </row>
    <row r="225" spans="1:15" ht="12.75" x14ac:dyDescent="0.2">
      <c r="A225" s="7">
        <v>46276</v>
      </c>
      <c r="B225" s="1">
        <v>2</v>
      </c>
      <c r="C225" s="1" t="s">
        <v>38</v>
      </c>
      <c r="D225" s="1" t="str">
        <f t="shared" si="3"/>
        <v/>
      </c>
      <c r="E225" s="1" t="s">
        <v>15</v>
      </c>
      <c r="F225" s="1" t="s">
        <v>28</v>
      </c>
      <c r="G225" s="1" t="s">
        <v>90</v>
      </c>
      <c r="H225" s="1">
        <v>14</v>
      </c>
      <c r="I225" s="1">
        <v>4</v>
      </c>
      <c r="J225" s="1">
        <v>11</v>
      </c>
      <c r="K225" s="2">
        <v>28405</v>
      </c>
      <c r="L225" s="2">
        <v>14985</v>
      </c>
      <c r="O225" s="4" t="str">
        <f ca="1">IFERROR(__xludf.DUMMYFUNCTION("TEXTJOIN("","", TRUE, FILTER($E$2:$E1000 &amp; $C$2:$C1000, $A$2:$A1000=A225, $B$2:$B1000=B225, $D$2:$D1000&lt;&gt;D225))"),"탑박원준,정글심재현,미드정용운,원딜천규환,서폿이세환")</f>
        <v>탑박원준,정글심재현,미드정용운,원딜천규환,서폿이세환</v>
      </c>
    </row>
    <row r="226" spans="1:15" ht="12.75" x14ac:dyDescent="0.2">
      <c r="A226" s="7">
        <v>46276</v>
      </c>
      <c r="B226" s="1">
        <v>2</v>
      </c>
      <c r="C226" s="1" t="s">
        <v>40</v>
      </c>
      <c r="D226" s="1" t="str">
        <f t="shared" si="3"/>
        <v/>
      </c>
      <c r="E226" s="1" t="s">
        <v>15</v>
      </c>
      <c r="F226" s="1" t="s">
        <v>30</v>
      </c>
      <c r="G226" s="1" t="s">
        <v>41</v>
      </c>
      <c r="H226" s="1">
        <v>5</v>
      </c>
      <c r="I226" s="1">
        <v>8</v>
      </c>
      <c r="J226" s="1">
        <v>26</v>
      </c>
      <c r="K226" s="2">
        <v>19947</v>
      </c>
      <c r="L226" s="2">
        <v>10036</v>
      </c>
      <c r="O226" s="4" t="str">
        <f ca="1">IFERROR(__xludf.DUMMYFUNCTION("TEXTJOIN("","", TRUE, FILTER($E$2:$E1000 &amp; $C$2:$C1000, $A$2:$A1000=A226, $B$2:$B1000=B226, $D$2:$D1000&lt;&gt;D226))"),"탑박원준,정글심재현,미드정용운,원딜천규환,서폿이세환")</f>
        <v>탑박원준,정글심재현,미드정용운,원딜천규환,서폿이세환</v>
      </c>
    </row>
    <row r="227" spans="1:15" ht="12.75" x14ac:dyDescent="0.2">
      <c r="A227" s="7">
        <v>46276</v>
      </c>
      <c r="B227" s="1">
        <v>2</v>
      </c>
      <c r="C227" s="1" t="s">
        <v>56</v>
      </c>
      <c r="D227" s="1" t="str">
        <f t="shared" si="3"/>
        <v/>
      </c>
      <c r="E227" s="1" t="s">
        <v>33</v>
      </c>
      <c r="F227" s="1" t="s">
        <v>16</v>
      </c>
      <c r="G227" s="1" t="s">
        <v>97</v>
      </c>
      <c r="H227" s="1">
        <v>2</v>
      </c>
      <c r="I227" s="1">
        <v>6</v>
      </c>
      <c r="J227" s="1">
        <v>7</v>
      </c>
      <c r="K227" s="2">
        <v>6030</v>
      </c>
      <c r="L227" s="2">
        <v>8053</v>
      </c>
      <c r="O227" s="4" t="str">
        <f ca="1">IFERROR(__xludf.DUMMYFUNCTION("TEXTJOIN("","", TRUE, FILTER($E$2:$E1000 &amp; $C$2:$C1000, $A$2:$A1000=A227, $B$2:$B1000=B227, $D$2:$D1000&lt;&gt;D227))"),"탑이진건,정글이석구,미드박상호,원딜이창호,서폿김현수")</f>
        <v>탑이진건,정글이석구,미드박상호,원딜이창호,서폿김현수</v>
      </c>
    </row>
    <row r="228" spans="1:15" ht="12.75" x14ac:dyDescent="0.2">
      <c r="A228" s="7">
        <v>46276</v>
      </c>
      <c r="B228" s="1">
        <v>2</v>
      </c>
      <c r="C228" s="1" t="s">
        <v>35</v>
      </c>
      <c r="D228" s="1" t="str">
        <f t="shared" si="3"/>
        <v/>
      </c>
      <c r="E228" s="1" t="s">
        <v>33</v>
      </c>
      <c r="F228" s="1" t="s">
        <v>22</v>
      </c>
      <c r="G228" s="1" t="s">
        <v>68</v>
      </c>
      <c r="H228" s="1">
        <v>8</v>
      </c>
      <c r="I228" s="1">
        <v>7</v>
      </c>
      <c r="J228" s="1">
        <v>8</v>
      </c>
      <c r="K228" s="2">
        <v>22567</v>
      </c>
      <c r="L228" s="2">
        <v>12966</v>
      </c>
      <c r="O228" s="4" t="str">
        <f ca="1">IFERROR(__xludf.DUMMYFUNCTION("TEXTJOIN("","", TRUE, FILTER($E$2:$E1000 &amp; $C$2:$C1000, $A$2:$A1000=A228, $B$2:$B1000=B228, $D$2:$D1000&lt;&gt;D228))"),"탑이진건,정글이석구,미드박상호,원딜이창호,서폿김현수")</f>
        <v>탑이진건,정글이석구,미드박상호,원딜이창호,서폿김현수</v>
      </c>
    </row>
    <row r="229" spans="1:15" ht="12.75" x14ac:dyDescent="0.2">
      <c r="A229" s="7">
        <v>46276</v>
      </c>
      <c r="B229" s="1">
        <v>2</v>
      </c>
      <c r="C229" s="1" t="s">
        <v>27</v>
      </c>
      <c r="D229" s="1" t="str">
        <f t="shared" si="3"/>
        <v/>
      </c>
      <c r="E229" s="1" t="s">
        <v>33</v>
      </c>
      <c r="F229" s="1" t="s">
        <v>18</v>
      </c>
      <c r="G229" s="1" t="s">
        <v>119</v>
      </c>
      <c r="H229" s="1">
        <v>7</v>
      </c>
      <c r="I229" s="1">
        <v>5</v>
      </c>
      <c r="J229" s="1">
        <v>5</v>
      </c>
      <c r="K229" s="2">
        <v>16575</v>
      </c>
      <c r="L229" s="2">
        <v>12105</v>
      </c>
      <c r="O229" s="4" t="str">
        <f ca="1">IFERROR(__xludf.DUMMYFUNCTION("TEXTJOIN("","", TRUE, FILTER($E$2:$E1000 &amp; $C$2:$C1000, $A$2:$A1000=A229, $B$2:$B1000=B229, $D$2:$D1000&lt;&gt;D229))"),"탑이진건,정글이석구,미드박상호,원딜이창호,서폿김현수")</f>
        <v>탑이진건,정글이석구,미드박상호,원딜이창호,서폿김현수</v>
      </c>
    </row>
    <row r="230" spans="1:15" ht="12.75" x14ac:dyDescent="0.2">
      <c r="A230" s="7">
        <v>46276</v>
      </c>
      <c r="B230" s="1">
        <v>2</v>
      </c>
      <c r="C230" s="1" t="s">
        <v>51</v>
      </c>
      <c r="D230" s="1" t="str">
        <f t="shared" si="3"/>
        <v/>
      </c>
      <c r="E230" s="1" t="s">
        <v>33</v>
      </c>
      <c r="F230" s="1" t="s">
        <v>28</v>
      </c>
      <c r="G230" s="1" t="s">
        <v>80</v>
      </c>
      <c r="H230" s="1">
        <v>2</v>
      </c>
      <c r="I230" s="1">
        <v>10</v>
      </c>
      <c r="J230" s="1">
        <v>6</v>
      </c>
      <c r="K230" s="2">
        <v>11390</v>
      </c>
      <c r="L230" s="2">
        <v>10814</v>
      </c>
      <c r="O230" s="4" t="str">
        <f ca="1">IFERROR(__xludf.DUMMYFUNCTION("TEXTJOIN("","", TRUE, FILTER($E$2:$E1000 &amp; $C$2:$C1000, $A$2:$A1000=A230, $B$2:$B1000=B230, $D$2:$D1000&lt;&gt;D230))"),"탑이진건,정글이석구,미드박상호,원딜이창호,서폿김현수")</f>
        <v>탑이진건,정글이석구,미드박상호,원딜이창호,서폿김현수</v>
      </c>
    </row>
    <row r="231" spans="1:15" ht="12.75" x14ac:dyDescent="0.2">
      <c r="A231" s="7">
        <v>46276</v>
      </c>
      <c r="B231" s="1">
        <v>2</v>
      </c>
      <c r="C231" s="1" t="s">
        <v>20</v>
      </c>
      <c r="D231" s="1" t="str">
        <f t="shared" si="3"/>
        <v/>
      </c>
      <c r="E231" s="1" t="s">
        <v>33</v>
      </c>
      <c r="F231" s="1" t="s">
        <v>30</v>
      </c>
      <c r="G231" s="1" t="s">
        <v>41</v>
      </c>
      <c r="H231" s="1">
        <v>4</v>
      </c>
      <c r="I231" s="1">
        <v>13</v>
      </c>
      <c r="J231" s="1">
        <v>3</v>
      </c>
      <c r="K231" s="2">
        <v>13675</v>
      </c>
      <c r="L231" s="2">
        <v>9825</v>
      </c>
      <c r="O231" s="4" t="str">
        <f ca="1">IFERROR(__xludf.DUMMYFUNCTION("TEXTJOIN("","", TRUE, FILTER($E$2:$E1000 &amp; $C$2:$C1000, $A$2:$A1000=A231, $B$2:$B1000=B231, $D$2:$D1000&lt;&gt;D231))"),"탑이진건,정글이석구,미드박상호,원딜이창호,서폿김현수")</f>
        <v>탑이진건,정글이석구,미드박상호,원딜이창호,서폿김현수</v>
      </c>
    </row>
    <row r="232" spans="1:15" ht="12.75" x14ac:dyDescent="0.2">
      <c r="A232" s="7">
        <v>46276</v>
      </c>
      <c r="B232" s="1">
        <v>3</v>
      </c>
      <c r="C232" s="1" t="s">
        <v>42</v>
      </c>
      <c r="D232" s="1" t="str">
        <f t="shared" si="3"/>
        <v/>
      </c>
      <c r="E232" s="1" t="s">
        <v>33</v>
      </c>
      <c r="F232" s="1" t="s">
        <v>16</v>
      </c>
      <c r="G232" s="1" t="s">
        <v>114</v>
      </c>
      <c r="H232" s="1">
        <v>6</v>
      </c>
      <c r="I232" s="1">
        <v>7</v>
      </c>
      <c r="J232" s="1">
        <v>7</v>
      </c>
      <c r="K232" s="6"/>
      <c r="L232" s="2">
        <v>8100</v>
      </c>
      <c r="O232" s="4" t="str">
        <f ca="1">IFERROR(__xludf.DUMMYFUNCTION("TEXTJOIN("","", TRUE, FILTER($E$2:$E1000 &amp; $C$2:$C1000, $A$2:$A1000=A232, $B$2:$B1000=B232, $D$2:$D1000&lt;&gt;D232))"),"탑박원준,정글심재현,미드정용운,원딜천규환,서폿이세환")</f>
        <v>탑박원준,정글심재현,미드정용운,원딜천규환,서폿이세환</v>
      </c>
    </row>
    <row r="233" spans="1:15" ht="12.75" x14ac:dyDescent="0.2">
      <c r="A233" s="7">
        <v>46276</v>
      </c>
      <c r="B233" s="1">
        <v>3</v>
      </c>
      <c r="C233" s="1" t="s">
        <v>44</v>
      </c>
      <c r="D233" s="1" t="str">
        <f t="shared" si="3"/>
        <v/>
      </c>
      <c r="E233" s="1" t="s">
        <v>33</v>
      </c>
      <c r="F233" s="1" t="s">
        <v>22</v>
      </c>
      <c r="G233" s="1" t="s">
        <v>105</v>
      </c>
      <c r="H233" s="1">
        <v>2</v>
      </c>
      <c r="I233" s="1">
        <v>1</v>
      </c>
      <c r="J233" s="1">
        <v>0</v>
      </c>
      <c r="K233" s="6"/>
      <c r="L233" s="2">
        <v>6399</v>
      </c>
      <c r="O233" s="4" t="str">
        <f ca="1">IFERROR(__xludf.DUMMYFUNCTION("TEXTJOIN("","", TRUE, FILTER($E$2:$E1000 &amp; $C$2:$C1000, $A$2:$A1000=A233, $B$2:$B1000=B233, $D$2:$D1000&lt;&gt;D233))"),"탑박원준,정글심재현,미드정용운,원딜천규환,서폿이세환")</f>
        <v>탑박원준,정글심재현,미드정용운,원딜천규환,서폿이세환</v>
      </c>
    </row>
    <row r="234" spans="1:15" ht="12.75" x14ac:dyDescent="0.2">
      <c r="A234" s="7">
        <v>46276</v>
      </c>
      <c r="B234" s="1">
        <v>3</v>
      </c>
      <c r="C234" s="1" t="s">
        <v>14</v>
      </c>
      <c r="D234" s="1" t="str">
        <f t="shared" si="3"/>
        <v/>
      </c>
      <c r="E234" s="1" t="s">
        <v>33</v>
      </c>
      <c r="F234" s="1" t="s">
        <v>18</v>
      </c>
      <c r="G234" s="1" t="s">
        <v>36</v>
      </c>
      <c r="H234" s="1">
        <v>1</v>
      </c>
      <c r="I234" s="1">
        <v>8</v>
      </c>
      <c r="J234" s="1">
        <v>3</v>
      </c>
      <c r="K234" s="6"/>
      <c r="L234" s="2">
        <v>5443</v>
      </c>
      <c r="O234" s="4" t="str">
        <f ca="1">IFERROR(__xludf.DUMMYFUNCTION("TEXTJOIN("","", TRUE, FILTER($E$2:$E1000 &amp; $C$2:$C1000, $A$2:$A1000=A234, $B$2:$B1000=B234, $D$2:$D1000&lt;&gt;D234))"),"탑박원준,정글심재현,미드정용운,원딜천규환,서폿이세환")</f>
        <v>탑박원준,정글심재현,미드정용운,원딜천규환,서폿이세환</v>
      </c>
    </row>
    <row r="235" spans="1:15" ht="12.75" x14ac:dyDescent="0.2">
      <c r="A235" s="7">
        <v>46276</v>
      </c>
      <c r="B235" s="1">
        <v>3</v>
      </c>
      <c r="C235" s="1" t="s">
        <v>38</v>
      </c>
      <c r="D235" s="1" t="str">
        <f t="shared" si="3"/>
        <v/>
      </c>
      <c r="E235" s="1" t="s">
        <v>33</v>
      </c>
      <c r="F235" s="1" t="s">
        <v>28</v>
      </c>
      <c r="G235" s="1" t="s">
        <v>95</v>
      </c>
      <c r="H235" s="1">
        <v>5</v>
      </c>
      <c r="I235" s="1">
        <v>6</v>
      </c>
      <c r="J235" s="1">
        <v>4</v>
      </c>
      <c r="K235" s="6"/>
      <c r="L235" s="2">
        <v>8478</v>
      </c>
      <c r="O235" s="4" t="str">
        <f ca="1">IFERROR(__xludf.DUMMYFUNCTION("TEXTJOIN("","", TRUE, FILTER($E$2:$E1000 &amp; $C$2:$C1000, $A$2:$A1000=A235, $B$2:$B1000=B235, $D$2:$D1000&lt;&gt;D235))"),"탑박원준,정글심재현,미드정용운,원딜천규환,서폿이세환")</f>
        <v>탑박원준,정글심재현,미드정용운,원딜천규환,서폿이세환</v>
      </c>
    </row>
    <row r="236" spans="1:15" ht="12.75" x14ac:dyDescent="0.2">
      <c r="A236" s="7">
        <v>46276</v>
      </c>
      <c r="B236" s="1">
        <v>3</v>
      </c>
      <c r="C236" s="1" t="s">
        <v>40</v>
      </c>
      <c r="D236" s="1" t="str">
        <f t="shared" si="3"/>
        <v/>
      </c>
      <c r="E236" s="1" t="s">
        <v>33</v>
      </c>
      <c r="F236" s="1" t="s">
        <v>30</v>
      </c>
      <c r="G236" s="1" t="s">
        <v>65</v>
      </c>
      <c r="H236" s="1">
        <v>2</v>
      </c>
      <c r="I236" s="1">
        <v>8</v>
      </c>
      <c r="J236" s="1">
        <v>8</v>
      </c>
      <c r="K236" s="6"/>
      <c r="L236" s="2">
        <v>5196</v>
      </c>
      <c r="O236" s="4" t="str">
        <f ca="1">IFERROR(__xludf.DUMMYFUNCTION("TEXTJOIN("","", TRUE, FILTER($E$2:$E1000 &amp; $C$2:$C1000, $A$2:$A1000=A236, $B$2:$B1000=B236, $D$2:$D1000&lt;&gt;D236))"),"탑박원준,정글심재현,미드정용운,원딜천규환,서폿이세환")</f>
        <v>탑박원준,정글심재현,미드정용운,원딜천규환,서폿이세환</v>
      </c>
    </row>
    <row r="237" spans="1:15" ht="12.75" x14ac:dyDescent="0.2">
      <c r="A237" s="7">
        <v>46276</v>
      </c>
      <c r="B237" s="1">
        <v>3</v>
      </c>
      <c r="C237" s="1" t="s">
        <v>56</v>
      </c>
      <c r="D237" s="1" t="str">
        <f t="shared" si="3"/>
        <v/>
      </c>
      <c r="E237" s="1" t="s">
        <v>15</v>
      </c>
      <c r="F237" s="1" t="s">
        <v>16</v>
      </c>
      <c r="G237" s="1" t="s">
        <v>23</v>
      </c>
      <c r="H237" s="1">
        <v>1</v>
      </c>
      <c r="I237" s="1">
        <v>0</v>
      </c>
      <c r="J237" s="1">
        <v>8</v>
      </c>
      <c r="K237" s="6"/>
      <c r="L237" s="2">
        <v>6425</v>
      </c>
      <c r="O237" s="4" t="str">
        <f ca="1">IFERROR(__xludf.DUMMYFUNCTION("TEXTJOIN("","", TRUE, FILTER($E$2:$E1000 &amp; $C$2:$C1000, $A$2:$A1000=A237, $B$2:$B1000=B237, $D$2:$D1000&lt;&gt;D237))"),"탑이진건,정글이석구,미드박상호,원딜이창호,서폿김현수")</f>
        <v>탑이진건,정글이석구,미드박상호,원딜이창호,서폿김현수</v>
      </c>
    </row>
    <row r="238" spans="1:15" ht="12.75" x14ac:dyDescent="0.2">
      <c r="A238" s="7">
        <v>46276</v>
      </c>
      <c r="B238" s="1">
        <v>3</v>
      </c>
      <c r="C238" s="1" t="s">
        <v>35</v>
      </c>
      <c r="D238" s="1" t="str">
        <f t="shared" si="3"/>
        <v/>
      </c>
      <c r="E238" s="1" t="s">
        <v>15</v>
      </c>
      <c r="F238" s="1" t="s">
        <v>22</v>
      </c>
      <c r="G238" s="1" t="s">
        <v>120</v>
      </c>
      <c r="H238" s="1">
        <v>6</v>
      </c>
      <c r="I238" s="1">
        <v>4</v>
      </c>
      <c r="J238" s="1">
        <v>11</v>
      </c>
      <c r="K238" s="6"/>
      <c r="L238" s="2">
        <v>9269</v>
      </c>
      <c r="O238" s="4" t="str">
        <f ca="1">IFERROR(__xludf.DUMMYFUNCTION("TEXTJOIN("","", TRUE, FILTER($E$2:$E1000 &amp; $C$2:$C1000, $A$2:$A1000=A238, $B$2:$B1000=B238, $D$2:$D1000&lt;&gt;D238))"),"탑이진건,정글이석구,미드박상호,원딜이창호,서폿김현수")</f>
        <v>탑이진건,정글이석구,미드박상호,원딜이창호,서폿김현수</v>
      </c>
    </row>
    <row r="239" spans="1:15" ht="12.75" x14ac:dyDescent="0.2">
      <c r="A239" s="7">
        <v>46276</v>
      </c>
      <c r="B239" s="1">
        <v>3</v>
      </c>
      <c r="C239" s="1" t="s">
        <v>27</v>
      </c>
      <c r="D239" s="1" t="str">
        <f t="shared" si="3"/>
        <v/>
      </c>
      <c r="E239" s="1" t="s">
        <v>15</v>
      </c>
      <c r="F239" s="1" t="s">
        <v>18</v>
      </c>
      <c r="G239" s="1" t="s">
        <v>108</v>
      </c>
      <c r="H239" s="1">
        <v>9</v>
      </c>
      <c r="I239" s="1">
        <v>5</v>
      </c>
      <c r="J239" s="1">
        <v>12</v>
      </c>
      <c r="K239" s="6"/>
      <c r="L239" s="2">
        <v>8588</v>
      </c>
      <c r="O239" s="4" t="str">
        <f ca="1">IFERROR(__xludf.DUMMYFUNCTION("TEXTJOIN("","", TRUE, FILTER($E$2:$E1000 &amp; $C$2:$C1000, $A$2:$A1000=A239, $B$2:$B1000=B239, $D$2:$D1000&lt;&gt;D239))"),"탑이진건,정글이석구,미드박상호,원딜이창호,서폿김현수")</f>
        <v>탑이진건,정글이석구,미드박상호,원딜이창호,서폿김현수</v>
      </c>
    </row>
    <row r="240" spans="1:15" ht="12.75" x14ac:dyDescent="0.2">
      <c r="A240" s="7">
        <v>46276</v>
      </c>
      <c r="B240" s="1">
        <v>3</v>
      </c>
      <c r="C240" s="1" t="s">
        <v>51</v>
      </c>
      <c r="D240" s="1" t="str">
        <f t="shared" si="3"/>
        <v/>
      </c>
      <c r="E240" s="1" t="s">
        <v>15</v>
      </c>
      <c r="F240" s="1" t="s">
        <v>28</v>
      </c>
      <c r="G240" s="1" t="s">
        <v>121</v>
      </c>
      <c r="H240" s="1">
        <v>9</v>
      </c>
      <c r="I240" s="1">
        <v>3</v>
      </c>
      <c r="J240" s="1">
        <v>12</v>
      </c>
      <c r="K240" s="6"/>
      <c r="L240" s="2">
        <v>11530</v>
      </c>
      <c r="O240" s="4" t="str">
        <f ca="1">IFERROR(__xludf.DUMMYFUNCTION("TEXTJOIN("","", TRUE, FILTER($E$2:$E1000 &amp; $C$2:$C1000, $A$2:$A1000=A240, $B$2:$B1000=B240, $D$2:$D1000&lt;&gt;D240))"),"탑이진건,정글이석구,미드박상호,원딜이창호,서폿김현수")</f>
        <v>탑이진건,정글이석구,미드박상호,원딜이창호,서폿김현수</v>
      </c>
    </row>
    <row r="241" spans="1:15" ht="12.75" x14ac:dyDescent="0.2">
      <c r="A241" s="7">
        <v>46276</v>
      </c>
      <c r="B241" s="1">
        <v>3</v>
      </c>
      <c r="C241" s="1" t="s">
        <v>20</v>
      </c>
      <c r="D241" s="1" t="str">
        <f t="shared" si="3"/>
        <v/>
      </c>
      <c r="E241" s="1" t="s">
        <v>15</v>
      </c>
      <c r="F241" s="1" t="s">
        <v>30</v>
      </c>
      <c r="G241" s="1" t="s">
        <v>122</v>
      </c>
      <c r="H241" s="1">
        <v>5</v>
      </c>
      <c r="I241" s="1">
        <v>4</v>
      </c>
      <c r="J241" s="1">
        <v>19</v>
      </c>
      <c r="K241" s="6"/>
      <c r="L241" s="2">
        <v>7464</v>
      </c>
      <c r="O241" s="4" t="str">
        <f ca="1">IFERROR(__xludf.DUMMYFUNCTION("TEXTJOIN("","", TRUE, FILTER($E$2:$E1000 &amp; $C$2:$C1000, $A$2:$A1000=A241, $B$2:$B1000=B241, $D$2:$D1000&lt;&gt;D241))"),"탑이진건,정글이석구,미드박상호,원딜이창호,서폿김현수")</f>
        <v>탑이진건,정글이석구,미드박상호,원딜이창호,서폿김현수</v>
      </c>
    </row>
    <row r="242" spans="1:15" ht="12.75" x14ac:dyDescent="0.2">
      <c r="A242" s="7">
        <v>46276</v>
      </c>
      <c r="B242" s="1">
        <v>4</v>
      </c>
      <c r="C242" s="1" t="s">
        <v>42</v>
      </c>
      <c r="D242" s="1" t="str">
        <f t="shared" si="3"/>
        <v/>
      </c>
      <c r="E242" s="1" t="s">
        <v>33</v>
      </c>
      <c r="F242" s="1" t="s">
        <v>16</v>
      </c>
      <c r="G242" s="1" t="s">
        <v>123</v>
      </c>
      <c r="H242" s="1">
        <v>5</v>
      </c>
      <c r="I242" s="1">
        <v>15</v>
      </c>
      <c r="J242" s="1">
        <v>6</v>
      </c>
      <c r="K242" s="6"/>
      <c r="L242" s="2">
        <v>9948</v>
      </c>
      <c r="O242" s="4" t="str">
        <f ca="1">IFERROR(__xludf.DUMMYFUNCTION("TEXTJOIN("","", TRUE, FILTER($E$2:$E1000 &amp; $C$2:$C1000, $A$2:$A1000=A242, $B$2:$B1000=B242, $D$2:$D1000&lt;&gt;D242))"),"탑박원준,정글심재현,미드정용운,원딜천규환,서폿이세환")</f>
        <v>탑박원준,정글심재현,미드정용운,원딜천규환,서폿이세환</v>
      </c>
    </row>
    <row r="243" spans="1:15" ht="12.75" x14ac:dyDescent="0.2">
      <c r="A243" s="7">
        <v>46276</v>
      </c>
      <c r="B243" s="1">
        <v>4</v>
      </c>
      <c r="C243" s="1" t="s">
        <v>44</v>
      </c>
      <c r="D243" s="1" t="str">
        <f t="shared" si="3"/>
        <v/>
      </c>
      <c r="E243" s="1" t="s">
        <v>33</v>
      </c>
      <c r="F243" s="1" t="s">
        <v>22</v>
      </c>
      <c r="G243" s="1" t="s">
        <v>34</v>
      </c>
      <c r="H243" s="1">
        <v>1</v>
      </c>
      <c r="I243" s="1">
        <v>6</v>
      </c>
      <c r="J243" s="1">
        <v>4</v>
      </c>
      <c r="K243" s="6"/>
      <c r="L243" s="2">
        <v>9494</v>
      </c>
      <c r="O243" s="4" t="str">
        <f ca="1">IFERROR(__xludf.DUMMYFUNCTION("TEXTJOIN("","", TRUE, FILTER($E$2:$E1000 &amp; $C$2:$C1000, $A$2:$A1000=A243, $B$2:$B1000=B243, $D$2:$D1000&lt;&gt;D243))"),"탑박원준,정글심재현,미드정용운,원딜천규환,서폿이세환")</f>
        <v>탑박원준,정글심재현,미드정용운,원딜천규환,서폿이세환</v>
      </c>
    </row>
    <row r="244" spans="1:15" ht="12.75" x14ac:dyDescent="0.2">
      <c r="A244" s="7">
        <v>46276</v>
      </c>
      <c r="B244" s="1">
        <v>4</v>
      </c>
      <c r="C244" s="1" t="s">
        <v>14</v>
      </c>
      <c r="D244" s="1" t="str">
        <f t="shared" si="3"/>
        <v/>
      </c>
      <c r="E244" s="1" t="s">
        <v>33</v>
      </c>
      <c r="F244" s="1" t="s">
        <v>18</v>
      </c>
      <c r="G244" s="1" t="s">
        <v>24</v>
      </c>
      <c r="H244" s="1">
        <v>3</v>
      </c>
      <c r="I244" s="1">
        <v>9</v>
      </c>
      <c r="J244" s="1">
        <v>4</v>
      </c>
      <c r="K244" s="6"/>
      <c r="L244" s="2">
        <v>12544</v>
      </c>
      <c r="O244" s="4" t="str">
        <f ca="1">IFERROR(__xludf.DUMMYFUNCTION("TEXTJOIN("","", TRUE, FILTER($E$2:$E1000 &amp; $C$2:$C1000, $A$2:$A1000=A244, $B$2:$B1000=B244, $D$2:$D1000&lt;&gt;D244))"),"탑박원준,정글심재현,미드정용운,원딜천규환,서폿이세환")</f>
        <v>탑박원준,정글심재현,미드정용운,원딜천규환,서폿이세환</v>
      </c>
    </row>
    <row r="245" spans="1:15" ht="12.75" x14ac:dyDescent="0.2">
      <c r="A245" s="7">
        <v>46276</v>
      </c>
      <c r="B245" s="1">
        <v>4</v>
      </c>
      <c r="C245" s="1" t="s">
        <v>38</v>
      </c>
      <c r="D245" s="1" t="str">
        <f t="shared" si="3"/>
        <v/>
      </c>
      <c r="E245" s="1" t="s">
        <v>33</v>
      </c>
      <c r="F245" s="1" t="s">
        <v>28</v>
      </c>
      <c r="G245" s="1" t="s">
        <v>59</v>
      </c>
      <c r="H245" s="1">
        <v>11</v>
      </c>
      <c r="I245" s="1">
        <v>10</v>
      </c>
      <c r="J245" s="1">
        <v>6</v>
      </c>
      <c r="K245" s="6"/>
      <c r="L245" s="2">
        <v>17463</v>
      </c>
      <c r="O245" s="4" t="str">
        <f ca="1">IFERROR(__xludf.DUMMYFUNCTION("TEXTJOIN("","", TRUE, FILTER($E$2:$E1000 &amp; $C$2:$C1000, $A$2:$A1000=A245, $B$2:$B1000=B245, $D$2:$D1000&lt;&gt;D245))"),"탑박원준,정글심재현,미드정용운,원딜천규환,서폿이세환")</f>
        <v>탑박원준,정글심재현,미드정용운,원딜천규환,서폿이세환</v>
      </c>
    </row>
    <row r="246" spans="1:15" ht="12.75" x14ac:dyDescent="0.2">
      <c r="A246" s="7">
        <v>46276</v>
      </c>
      <c r="B246" s="1">
        <v>4</v>
      </c>
      <c r="C246" s="1" t="s">
        <v>40</v>
      </c>
      <c r="D246" s="1" t="str">
        <f t="shared" si="3"/>
        <v/>
      </c>
      <c r="E246" s="1" t="s">
        <v>33</v>
      </c>
      <c r="F246" s="1" t="s">
        <v>30</v>
      </c>
      <c r="G246" s="1" t="s">
        <v>115</v>
      </c>
      <c r="H246" s="1">
        <v>2</v>
      </c>
      <c r="I246" s="1">
        <v>16</v>
      </c>
      <c r="J246" s="1">
        <v>12</v>
      </c>
      <c r="K246" s="6"/>
      <c r="L246" s="2">
        <v>9052</v>
      </c>
      <c r="O246" s="4" t="str">
        <f ca="1">IFERROR(__xludf.DUMMYFUNCTION("TEXTJOIN("","", TRUE, FILTER($E$2:$E1000 &amp; $C$2:$C1000, $A$2:$A1000=A246, $B$2:$B1000=B246, $D$2:$D1000&lt;&gt;D246))"),"탑박원준,정글심재현,미드정용운,원딜천규환,서폿이세환")</f>
        <v>탑박원준,정글심재현,미드정용운,원딜천규환,서폿이세환</v>
      </c>
    </row>
    <row r="247" spans="1:15" ht="12.75" x14ac:dyDescent="0.2">
      <c r="A247" s="7">
        <v>46276</v>
      </c>
      <c r="B247" s="1">
        <v>4</v>
      </c>
      <c r="C247" s="1" t="s">
        <v>56</v>
      </c>
      <c r="D247" s="1" t="str">
        <f t="shared" si="3"/>
        <v/>
      </c>
      <c r="E247" s="1" t="s">
        <v>15</v>
      </c>
      <c r="F247" s="1" t="s">
        <v>16</v>
      </c>
      <c r="G247" s="1" t="s">
        <v>124</v>
      </c>
      <c r="H247" s="1">
        <v>3</v>
      </c>
      <c r="I247" s="1">
        <v>2</v>
      </c>
      <c r="J247" s="1">
        <v>9</v>
      </c>
      <c r="K247" s="6"/>
      <c r="L247" s="2">
        <v>9084</v>
      </c>
      <c r="O247" s="4" t="str">
        <f ca="1">IFERROR(__xludf.DUMMYFUNCTION("TEXTJOIN("","", TRUE, FILTER($E$2:$E1000 &amp; $C$2:$C1000, $A$2:$A1000=A247, $B$2:$B1000=B247, $D$2:$D1000&lt;&gt;D247))"),"탑이진건,정글이석구,미드박상호,원딜이창호,서폿김현수")</f>
        <v>탑이진건,정글이석구,미드박상호,원딜이창호,서폿김현수</v>
      </c>
    </row>
    <row r="248" spans="1:15" ht="12.75" x14ac:dyDescent="0.2">
      <c r="A248" s="7">
        <v>46276</v>
      </c>
      <c r="B248" s="1">
        <v>4</v>
      </c>
      <c r="C248" s="1" t="s">
        <v>35</v>
      </c>
      <c r="D248" s="1" t="str">
        <f t="shared" si="3"/>
        <v/>
      </c>
      <c r="E248" s="1" t="s">
        <v>15</v>
      </c>
      <c r="F248" s="1" t="s">
        <v>22</v>
      </c>
      <c r="G248" s="1" t="s">
        <v>125</v>
      </c>
      <c r="H248" s="1">
        <v>16</v>
      </c>
      <c r="I248" s="1">
        <v>5</v>
      </c>
      <c r="J248" s="1">
        <v>18</v>
      </c>
      <c r="K248" s="6"/>
      <c r="L248" s="2">
        <v>16514</v>
      </c>
      <c r="O248" s="4" t="str">
        <f ca="1">IFERROR(__xludf.DUMMYFUNCTION("TEXTJOIN("","", TRUE, FILTER($E$2:$E1000 &amp; $C$2:$C1000, $A$2:$A1000=A248, $B$2:$B1000=B248, $D$2:$D1000&lt;&gt;D248))"),"탑이진건,정글이석구,미드박상호,원딜이창호,서폿김현수")</f>
        <v>탑이진건,정글이석구,미드박상호,원딜이창호,서폿김현수</v>
      </c>
    </row>
    <row r="249" spans="1:15" ht="12.75" x14ac:dyDescent="0.2">
      <c r="A249" s="7">
        <v>46276</v>
      </c>
      <c r="B249" s="1">
        <v>4</v>
      </c>
      <c r="C249" s="1" t="s">
        <v>27</v>
      </c>
      <c r="D249" s="1" t="str">
        <f t="shared" si="3"/>
        <v/>
      </c>
      <c r="E249" s="1" t="s">
        <v>15</v>
      </c>
      <c r="F249" s="1" t="s">
        <v>18</v>
      </c>
      <c r="G249" s="1" t="s">
        <v>87</v>
      </c>
      <c r="H249" s="1">
        <v>12</v>
      </c>
      <c r="I249" s="1">
        <v>4</v>
      </c>
      <c r="J249" s="1">
        <v>11</v>
      </c>
      <c r="K249" s="6"/>
      <c r="L249" s="2">
        <v>1926</v>
      </c>
      <c r="O249" s="4" t="str">
        <f ca="1">IFERROR(__xludf.DUMMYFUNCTION("TEXTJOIN("","", TRUE, FILTER($E$2:$E1000 &amp; $C$2:$C1000, $A$2:$A1000=A249, $B$2:$B1000=B249, $D$2:$D1000&lt;&gt;D249))"),"탑이진건,정글이석구,미드박상호,원딜이창호,서폿김현수")</f>
        <v>탑이진건,정글이석구,미드박상호,원딜이창호,서폿김현수</v>
      </c>
    </row>
    <row r="250" spans="1:15" ht="12.75" x14ac:dyDescent="0.2">
      <c r="A250" s="7">
        <v>46276</v>
      </c>
      <c r="B250" s="1">
        <v>4</v>
      </c>
      <c r="C250" s="1" t="s">
        <v>51</v>
      </c>
      <c r="D250" s="1" t="str">
        <f t="shared" si="3"/>
        <v/>
      </c>
      <c r="E250" s="1" t="s">
        <v>15</v>
      </c>
      <c r="F250" s="1" t="s">
        <v>28</v>
      </c>
      <c r="G250" s="1" t="s">
        <v>92</v>
      </c>
      <c r="H250" s="1">
        <v>19</v>
      </c>
      <c r="I250" s="1">
        <v>3</v>
      </c>
      <c r="J250" s="1">
        <v>21</v>
      </c>
      <c r="K250" s="6"/>
      <c r="L250" s="2">
        <v>20322</v>
      </c>
      <c r="O250" s="4" t="str">
        <f ca="1">IFERROR(__xludf.DUMMYFUNCTION("TEXTJOIN("","", TRUE, FILTER($E$2:$E1000 &amp; $C$2:$C1000, $A$2:$A1000=A250, $B$2:$B1000=B250, $D$2:$D1000&lt;&gt;D250))"),"탑이진건,정글이석구,미드박상호,원딜이창호,서폿김현수")</f>
        <v>탑이진건,정글이석구,미드박상호,원딜이창호,서폿김현수</v>
      </c>
    </row>
    <row r="251" spans="1:15" ht="12.75" x14ac:dyDescent="0.2">
      <c r="A251" s="7">
        <v>46276</v>
      </c>
      <c r="B251" s="1">
        <v>4</v>
      </c>
      <c r="C251" s="1" t="s">
        <v>20</v>
      </c>
      <c r="D251" s="1" t="str">
        <f t="shared" si="3"/>
        <v/>
      </c>
      <c r="E251" s="1" t="s">
        <v>15</v>
      </c>
      <c r="F251" s="1" t="s">
        <v>30</v>
      </c>
      <c r="G251" s="1" t="s">
        <v>60</v>
      </c>
      <c r="H251" s="1">
        <v>5</v>
      </c>
      <c r="I251" s="1">
        <v>8</v>
      </c>
      <c r="J251" s="1">
        <v>27</v>
      </c>
      <c r="K251" s="6"/>
      <c r="L251" s="2">
        <v>10705</v>
      </c>
      <c r="O251" s="4" t="str">
        <f ca="1">IFERROR(__xludf.DUMMYFUNCTION("TEXTJOIN("","", TRUE, FILTER($E$2:$E1000 &amp; $C$2:$C1000, $A$2:$A1000=A251, $B$2:$B1000=B251, $D$2:$D1000&lt;&gt;D251))"),"탑이진건,정글이석구,미드박상호,원딜이창호,서폿김현수")</f>
        <v>탑이진건,정글이석구,미드박상호,원딜이창호,서폿김현수</v>
      </c>
    </row>
    <row r="252" spans="1:15" ht="12.75" x14ac:dyDescent="0.2">
      <c r="A252" s="7">
        <v>46276</v>
      </c>
      <c r="B252" s="1">
        <v>5</v>
      </c>
      <c r="C252" s="1" t="s">
        <v>42</v>
      </c>
      <c r="D252" s="1" t="str">
        <f t="shared" si="3"/>
        <v/>
      </c>
      <c r="E252" s="1" t="s">
        <v>15</v>
      </c>
      <c r="F252" s="1" t="s">
        <v>16</v>
      </c>
      <c r="G252" s="1" t="s">
        <v>126</v>
      </c>
      <c r="H252" s="1">
        <v>7</v>
      </c>
      <c r="I252" s="1">
        <v>8</v>
      </c>
      <c r="J252" s="1">
        <v>7</v>
      </c>
      <c r="K252" s="2">
        <v>24415</v>
      </c>
      <c r="L252" s="2">
        <v>11861</v>
      </c>
      <c r="O252" s="4" t="str">
        <f ca="1">IFERROR(__xludf.DUMMYFUNCTION("TEXTJOIN("","", TRUE, FILTER($E$2:$E1000 &amp; $C$2:$C1000, $A$2:$A1000=A252, $B$2:$B1000=B252, $D$2:$D1000&lt;&gt;D252))"),"탑박원준,정글심재현,미드정용운,원딜천규환,서폿이세환")</f>
        <v>탑박원준,정글심재현,미드정용운,원딜천규환,서폿이세환</v>
      </c>
    </row>
    <row r="253" spans="1:15" ht="12.75" x14ac:dyDescent="0.2">
      <c r="A253" s="7">
        <v>46276</v>
      </c>
      <c r="B253" s="1">
        <v>5</v>
      </c>
      <c r="C253" s="1" t="s">
        <v>44</v>
      </c>
      <c r="D253" s="1" t="str">
        <f t="shared" si="3"/>
        <v/>
      </c>
      <c r="E253" s="1" t="s">
        <v>15</v>
      </c>
      <c r="F253" s="1" t="s">
        <v>22</v>
      </c>
      <c r="G253" s="1" t="s">
        <v>127</v>
      </c>
      <c r="H253" s="1">
        <v>5</v>
      </c>
      <c r="I253" s="1">
        <v>9</v>
      </c>
      <c r="J253" s="1">
        <v>23</v>
      </c>
      <c r="K253" s="2">
        <v>20563</v>
      </c>
      <c r="L253" s="2">
        <v>12852</v>
      </c>
      <c r="O253" s="4" t="str">
        <f ca="1">IFERROR(__xludf.DUMMYFUNCTION("TEXTJOIN("","", TRUE, FILTER($E$2:$E1000 &amp; $C$2:$C1000, $A$2:$A1000=A253, $B$2:$B1000=B253, $D$2:$D1000&lt;&gt;D253))"),"탑박원준,정글심재현,미드정용운,원딜천규환,서폿이세환")</f>
        <v>탑박원준,정글심재현,미드정용운,원딜천규환,서폿이세환</v>
      </c>
    </row>
    <row r="254" spans="1:15" ht="12.75" x14ac:dyDescent="0.2">
      <c r="A254" s="7">
        <v>46276</v>
      </c>
      <c r="B254" s="1">
        <v>5</v>
      </c>
      <c r="C254" s="1" t="s">
        <v>14</v>
      </c>
      <c r="D254" s="1" t="str">
        <f t="shared" si="3"/>
        <v/>
      </c>
      <c r="E254" s="1" t="s">
        <v>15</v>
      </c>
      <c r="F254" s="1" t="s">
        <v>18</v>
      </c>
      <c r="G254" s="1" t="s">
        <v>19</v>
      </c>
      <c r="H254" s="1">
        <v>10</v>
      </c>
      <c r="I254" s="1">
        <v>5</v>
      </c>
      <c r="J254" s="1">
        <v>7</v>
      </c>
      <c r="K254" s="2">
        <v>44343</v>
      </c>
      <c r="L254" s="2">
        <v>15648</v>
      </c>
      <c r="O254" s="4" t="str">
        <f ca="1">IFERROR(__xludf.DUMMYFUNCTION("TEXTJOIN("","", TRUE, FILTER($E$2:$E1000 &amp; $C$2:$C1000, $A$2:$A1000=A254, $B$2:$B1000=B254, $D$2:$D1000&lt;&gt;D254))"),"탑박원준,정글심재현,미드정용운,원딜천규환,서폿이세환")</f>
        <v>탑박원준,정글심재현,미드정용운,원딜천규환,서폿이세환</v>
      </c>
    </row>
    <row r="255" spans="1:15" ht="12.75" x14ac:dyDescent="0.2">
      <c r="A255" s="7">
        <v>46276</v>
      </c>
      <c r="B255" s="1">
        <v>5</v>
      </c>
      <c r="C255" s="1" t="s">
        <v>38</v>
      </c>
      <c r="D255" s="1" t="str">
        <f t="shared" si="3"/>
        <v/>
      </c>
      <c r="E255" s="1" t="s">
        <v>15</v>
      </c>
      <c r="F255" s="1" t="s">
        <v>28</v>
      </c>
      <c r="G255" s="1" t="s">
        <v>80</v>
      </c>
      <c r="H255" s="1">
        <v>14</v>
      </c>
      <c r="I255" s="1">
        <v>3</v>
      </c>
      <c r="J255" s="1">
        <v>11</v>
      </c>
      <c r="K255" s="2">
        <v>51847</v>
      </c>
      <c r="L255" s="2">
        <v>18334</v>
      </c>
      <c r="O255" s="4" t="str">
        <f ca="1">IFERROR(__xludf.DUMMYFUNCTION("TEXTJOIN("","", TRUE, FILTER($E$2:$E1000 &amp; $C$2:$C1000, $A$2:$A1000=A255, $B$2:$B1000=B255, $D$2:$D1000&lt;&gt;D255))"),"탑박원준,정글심재현,미드정용운,원딜천규환,서폿이세환")</f>
        <v>탑박원준,정글심재현,미드정용운,원딜천규환,서폿이세환</v>
      </c>
    </row>
    <row r="256" spans="1:15" ht="12.75" x14ac:dyDescent="0.2">
      <c r="A256" s="7">
        <v>46276</v>
      </c>
      <c r="B256" s="1">
        <v>5</v>
      </c>
      <c r="C256" s="1" t="s">
        <v>40</v>
      </c>
      <c r="D256" s="1" t="str">
        <f t="shared" si="3"/>
        <v/>
      </c>
      <c r="E256" s="1" t="s">
        <v>15</v>
      </c>
      <c r="F256" s="1" t="s">
        <v>30</v>
      </c>
      <c r="G256" s="1" t="s">
        <v>60</v>
      </c>
      <c r="H256" s="1">
        <v>4</v>
      </c>
      <c r="I256" s="1">
        <v>7</v>
      </c>
      <c r="J256" s="1">
        <v>22</v>
      </c>
      <c r="K256" s="2">
        <v>28437</v>
      </c>
      <c r="L256" s="2">
        <v>10626</v>
      </c>
      <c r="O256" s="4" t="str">
        <f ca="1">IFERROR(__xludf.DUMMYFUNCTION("TEXTJOIN("","", TRUE, FILTER($E$2:$E1000 &amp; $C$2:$C1000, $A$2:$A1000=A256, $B$2:$B1000=B256, $D$2:$D1000&lt;&gt;D256))"),"탑박원준,정글심재현,미드정용운,원딜천규환,서폿이세환")</f>
        <v>탑박원준,정글심재현,미드정용운,원딜천규환,서폿이세환</v>
      </c>
    </row>
    <row r="257" spans="1:15" ht="12.75" x14ac:dyDescent="0.2">
      <c r="A257" s="7">
        <v>46276</v>
      </c>
      <c r="B257" s="1">
        <v>5</v>
      </c>
      <c r="C257" s="1" t="s">
        <v>56</v>
      </c>
      <c r="D257" s="1" t="str">
        <f t="shared" si="3"/>
        <v/>
      </c>
      <c r="E257" s="1" t="s">
        <v>33</v>
      </c>
      <c r="F257" s="1" t="s">
        <v>16</v>
      </c>
      <c r="G257" s="1" t="s">
        <v>61</v>
      </c>
      <c r="H257" s="1">
        <v>4</v>
      </c>
      <c r="I257" s="1">
        <v>4</v>
      </c>
      <c r="J257" s="1">
        <v>10</v>
      </c>
      <c r="K257" s="2">
        <v>22251</v>
      </c>
      <c r="L257" s="2">
        <v>10330</v>
      </c>
      <c r="O257" s="4" t="str">
        <f ca="1">IFERROR(__xludf.DUMMYFUNCTION("TEXTJOIN("","", TRUE, FILTER($E$2:$E1000 &amp; $C$2:$C1000, $A$2:$A1000=A257, $B$2:$B1000=B257, $D$2:$D1000&lt;&gt;D257))"),"탑이진건,정글이석구,미드박상호,원딜이창호,서폿김현수")</f>
        <v>탑이진건,정글이석구,미드박상호,원딜이창호,서폿김현수</v>
      </c>
    </row>
    <row r="258" spans="1:15" ht="12.75" x14ac:dyDescent="0.2">
      <c r="A258" s="7">
        <v>46276</v>
      </c>
      <c r="B258" s="1">
        <v>5</v>
      </c>
      <c r="C258" s="1" t="s">
        <v>35</v>
      </c>
      <c r="D258" s="1" t="str">
        <f t="shared" si="3"/>
        <v/>
      </c>
      <c r="E258" s="1" t="s">
        <v>33</v>
      </c>
      <c r="F258" s="1" t="s">
        <v>22</v>
      </c>
      <c r="G258" s="1" t="s">
        <v>83</v>
      </c>
      <c r="H258" s="1">
        <v>11</v>
      </c>
      <c r="I258" s="1">
        <v>9</v>
      </c>
      <c r="J258" s="1">
        <v>10</v>
      </c>
      <c r="K258" s="2">
        <v>14273</v>
      </c>
      <c r="L258" s="2">
        <v>14151</v>
      </c>
      <c r="O258" s="4" t="str">
        <f ca="1">IFERROR(__xludf.DUMMYFUNCTION("TEXTJOIN("","", TRUE, FILTER($E$2:$E1000 &amp; $C$2:$C1000, $A$2:$A1000=A258, $B$2:$B1000=B258, $D$2:$D1000&lt;&gt;D258))"),"탑이진건,정글이석구,미드박상호,원딜이창호,서폿김현수")</f>
        <v>탑이진건,정글이석구,미드박상호,원딜이창호,서폿김현수</v>
      </c>
    </row>
    <row r="259" spans="1:15" ht="12.75" x14ac:dyDescent="0.2">
      <c r="A259" s="7">
        <v>46276</v>
      </c>
      <c r="B259" s="1">
        <v>5</v>
      </c>
      <c r="C259" s="1" t="s">
        <v>27</v>
      </c>
      <c r="D259" s="1" t="str">
        <f t="shared" ref="D259:D261" si="4">IF(B259=1,IF(COUNTIFS(A:A,A259,C:C,C259,E:E,"승")&gt;COUNTIFS(A:A,A259,C:C,C259,E:E,"패"),"승",IF(COUNTIFS(A:A,A259,C:C,C259,E:E,"승")&lt;COUNTIFS(A:A,A259,C:C,C259,E:E,"패"),"패","무승부")),"")</f>
        <v/>
      </c>
      <c r="E259" s="1" t="s">
        <v>33</v>
      </c>
      <c r="F259" s="1" t="s">
        <v>18</v>
      </c>
      <c r="G259" s="1" t="s">
        <v>128</v>
      </c>
      <c r="H259" s="1">
        <v>3</v>
      </c>
      <c r="I259" s="1">
        <v>10</v>
      </c>
      <c r="J259" s="1">
        <v>11</v>
      </c>
      <c r="K259" s="2">
        <v>21282</v>
      </c>
      <c r="L259" s="2">
        <v>10404</v>
      </c>
      <c r="O259" s="4" t="str">
        <f ca="1">IFERROR(__xludf.DUMMYFUNCTION("TEXTJOIN("","", TRUE, FILTER($E$2:$E1000 &amp; $C$2:$C1000, $A$2:$A1000=A259, $B$2:$B1000=B259, $D$2:$D1000&lt;&gt;D259))"),"탑이진건,정글이석구,미드박상호,원딜이창호,서폿김현수")</f>
        <v>탑이진건,정글이석구,미드박상호,원딜이창호,서폿김현수</v>
      </c>
    </row>
    <row r="260" spans="1:15" ht="12.75" x14ac:dyDescent="0.2">
      <c r="A260" s="7">
        <v>46276</v>
      </c>
      <c r="B260" s="1">
        <v>5</v>
      </c>
      <c r="C260" s="1" t="s">
        <v>51</v>
      </c>
      <c r="D260" s="1" t="str">
        <f t="shared" si="4"/>
        <v/>
      </c>
      <c r="E260" s="1" t="s">
        <v>33</v>
      </c>
      <c r="F260" s="1" t="s">
        <v>28</v>
      </c>
      <c r="G260" s="1" t="s">
        <v>129</v>
      </c>
      <c r="H260" s="1">
        <v>8</v>
      </c>
      <c r="I260" s="1">
        <v>7</v>
      </c>
      <c r="J260" s="1">
        <v>8</v>
      </c>
      <c r="K260" s="2">
        <v>36228</v>
      </c>
      <c r="L260" s="2">
        <v>14637</v>
      </c>
      <c r="O260" s="4" t="str">
        <f ca="1">IFERROR(__xludf.DUMMYFUNCTION("TEXTJOIN("","", TRUE, FILTER($E$2:$E1000 &amp; $C$2:$C1000, $A$2:$A1000=A260, $B$2:$B1000=B260, $D$2:$D1000&lt;&gt;D260))"),"탑이진건,정글이석구,미드박상호,원딜이창호,서폿김현수")</f>
        <v>탑이진건,정글이석구,미드박상호,원딜이창호,서폿김현수</v>
      </c>
    </row>
    <row r="261" spans="1:15" ht="12.75" x14ac:dyDescent="0.2">
      <c r="A261" s="7">
        <v>46276</v>
      </c>
      <c r="B261" s="1">
        <v>5</v>
      </c>
      <c r="C261" s="1" t="s">
        <v>20</v>
      </c>
      <c r="D261" s="1" t="str">
        <f t="shared" si="4"/>
        <v/>
      </c>
      <c r="E261" s="1" t="s">
        <v>33</v>
      </c>
      <c r="F261" s="1" t="s">
        <v>30</v>
      </c>
      <c r="G261" s="1" t="s">
        <v>41</v>
      </c>
      <c r="H261" s="1">
        <v>6</v>
      </c>
      <c r="I261" s="1">
        <v>10</v>
      </c>
      <c r="J261" s="1">
        <v>16</v>
      </c>
      <c r="K261" s="2">
        <v>20778</v>
      </c>
      <c r="L261" s="2">
        <v>10466</v>
      </c>
      <c r="O261" s="4" t="str">
        <f ca="1">IFERROR(__xludf.DUMMYFUNCTION("TEXTJOIN("","", TRUE, FILTER($E$2:$E1000 &amp; $C$2:$C1000, $A$2:$A1000=A261, $B$2:$B1000=B261, $D$2:$D1000&lt;&gt;D261))"),"탑이진건,정글이석구,미드박상호,원딜이창호,서폿김현수")</f>
        <v>탑이진건,정글이석구,미드박상호,원딜이창호,서폿김현수</v>
      </c>
    </row>
    <row r="262" spans="1:15" ht="12.75" x14ac:dyDescent="0.2">
      <c r="K262" s="6"/>
      <c r="L262" s="6"/>
      <c r="O262" s="4" t="str">
        <f ca="1">IFERROR(__xludf.DUMMYFUNCTION("TEXTJOIN("","", TRUE, FILTER($E$2:$E1000 &amp; $C$2:$C1000, $A$2:$A1000=A262, $B$2:$B1000=B262, $D$2:$D1000&lt;&gt;D262))"),"#N/A")</f>
        <v>#N/A</v>
      </c>
    </row>
    <row r="263" spans="1:15" ht="12.75" x14ac:dyDescent="0.2">
      <c r="K263" s="6"/>
      <c r="L263" s="6"/>
      <c r="O263" s="4" t="str">
        <f ca="1">IFERROR(__xludf.DUMMYFUNCTION("TEXTJOIN("","", TRUE, FILTER($E$2:$E1000 &amp; $C$2:$C1000, $A$2:$A1000=A263, $B$2:$B1000=B263, $D$2:$D1000&lt;&gt;D263))"),"#N/A")</f>
        <v>#N/A</v>
      </c>
    </row>
    <row r="264" spans="1:15" ht="12.75" x14ac:dyDescent="0.2">
      <c r="K264" s="6"/>
      <c r="L264" s="6"/>
      <c r="O264" s="4" t="str">
        <f ca="1">IFERROR(__xludf.DUMMYFUNCTION("TEXTJOIN("","", TRUE, FILTER($E$2:$E1000 &amp; $C$2:$C1000, $A$2:$A1000=A264, $B$2:$B1000=B264, $D$2:$D1000&lt;&gt;D264))"),"#N/A")</f>
        <v>#N/A</v>
      </c>
    </row>
    <row r="265" spans="1:15" ht="12.75" x14ac:dyDescent="0.2">
      <c r="K265" s="6"/>
      <c r="L265" s="6"/>
      <c r="O265" s="4" t="str">
        <f ca="1">IFERROR(__xludf.DUMMYFUNCTION("TEXTJOIN("","", TRUE, FILTER($E$2:$E1000 &amp; $C$2:$C1000, $A$2:$A1000=A265, $B$2:$B1000=B265, $D$2:$D1000&lt;&gt;D265))"),"#N/A")</f>
        <v>#N/A</v>
      </c>
    </row>
    <row r="266" spans="1:15" ht="12.75" x14ac:dyDescent="0.2">
      <c r="K266" s="6"/>
      <c r="L266" s="6"/>
      <c r="O266" s="4" t="str">
        <f ca="1">IFERROR(__xludf.DUMMYFUNCTION("TEXTJOIN("","", TRUE, FILTER($E$2:$E1000 &amp; $C$2:$C1000, $A$2:$A1000=A266, $B$2:$B1000=B266, $D$2:$D1000&lt;&gt;D266))"),"#N/A")</f>
        <v>#N/A</v>
      </c>
    </row>
    <row r="267" spans="1:15" ht="12.75" x14ac:dyDescent="0.2">
      <c r="K267" s="6"/>
      <c r="L267" s="6"/>
      <c r="O267" s="4" t="str">
        <f ca="1">IFERROR(__xludf.DUMMYFUNCTION("TEXTJOIN("","", TRUE, FILTER($E$2:$E1000 &amp; $C$2:$C1000, $A$2:$A1000=A267, $B$2:$B1000=B267, $D$2:$D1000&lt;&gt;D267))"),"#N/A")</f>
        <v>#N/A</v>
      </c>
    </row>
    <row r="268" spans="1:15" ht="12.75" x14ac:dyDescent="0.2">
      <c r="K268" s="6"/>
      <c r="L268" s="6"/>
      <c r="O268" s="4" t="str">
        <f ca="1">IFERROR(__xludf.DUMMYFUNCTION("TEXTJOIN("","", TRUE, FILTER($E$2:$E1000 &amp; $C$2:$C1000, $A$2:$A1000=A268, $B$2:$B1000=B268, $D$2:$D1000&lt;&gt;D268))"),"#N/A")</f>
        <v>#N/A</v>
      </c>
    </row>
    <row r="269" spans="1:15" ht="12.75" x14ac:dyDescent="0.2">
      <c r="K269" s="6"/>
      <c r="L269" s="6"/>
      <c r="O269" s="4" t="str">
        <f ca="1">IFERROR(__xludf.DUMMYFUNCTION("TEXTJOIN("","", TRUE, FILTER($E$2:$E1000 &amp; $C$2:$C1000, $A$2:$A1000=A269, $B$2:$B1000=B269, $D$2:$D1000&lt;&gt;D269))"),"#N/A")</f>
        <v>#N/A</v>
      </c>
    </row>
    <row r="270" spans="1:15" ht="12.75" x14ac:dyDescent="0.2">
      <c r="K270" s="6"/>
      <c r="L270" s="6"/>
      <c r="O270" s="4" t="str">
        <f ca="1">IFERROR(__xludf.DUMMYFUNCTION("TEXTJOIN("","", TRUE, FILTER($E$2:$E1000 &amp; $C$2:$C1000, $A$2:$A1000=A270, $B$2:$B1000=B270, $D$2:$D1000&lt;&gt;D270))"),"#N/A")</f>
        <v>#N/A</v>
      </c>
    </row>
    <row r="271" spans="1:15" ht="12.75" x14ac:dyDescent="0.2">
      <c r="K271" s="6"/>
      <c r="L271" s="6"/>
      <c r="O271" s="4" t="str">
        <f ca="1">IFERROR(__xludf.DUMMYFUNCTION("TEXTJOIN("","", TRUE, FILTER($E$2:$E1000 &amp; $C$2:$C1000, $A$2:$A1000=A271, $B$2:$B1000=B271, $D$2:$D1000&lt;&gt;D271))"),"#N/A")</f>
        <v>#N/A</v>
      </c>
    </row>
    <row r="272" spans="1:15" ht="12.75" x14ac:dyDescent="0.2">
      <c r="K272" s="6"/>
      <c r="L272" s="6"/>
      <c r="O272" s="4" t="str">
        <f ca="1">IFERROR(__xludf.DUMMYFUNCTION("TEXTJOIN("","", TRUE, FILTER($E$2:$E1000 &amp; $C$2:$C1000, $A$2:$A1000=A272, $B$2:$B1000=B272, $D$2:$D1000&lt;&gt;D272))"),"#N/A")</f>
        <v>#N/A</v>
      </c>
    </row>
    <row r="273" spans="11:15" ht="12.75" x14ac:dyDescent="0.2">
      <c r="K273" s="6"/>
      <c r="L273" s="6"/>
      <c r="O273" s="4" t="str">
        <f ca="1">IFERROR(__xludf.DUMMYFUNCTION("TEXTJOIN("","", TRUE, FILTER($E$2:$E1000 &amp; $C$2:$C1000, $A$2:$A1000=A273, $B$2:$B1000=B273, $D$2:$D1000&lt;&gt;D273))"),"#N/A")</f>
        <v>#N/A</v>
      </c>
    </row>
    <row r="274" spans="11:15" ht="12.75" x14ac:dyDescent="0.2">
      <c r="K274" s="6"/>
      <c r="L274" s="6"/>
      <c r="O274" s="4" t="str">
        <f ca="1">IFERROR(__xludf.DUMMYFUNCTION("TEXTJOIN("","", TRUE, FILTER($E$2:$E1000 &amp; $C$2:$C1000, $A$2:$A1000=A274, $B$2:$B1000=B274, $D$2:$D1000&lt;&gt;D274))"),"#N/A")</f>
        <v>#N/A</v>
      </c>
    </row>
    <row r="275" spans="11:15" ht="12.75" x14ac:dyDescent="0.2">
      <c r="K275" s="6"/>
      <c r="L275" s="6"/>
      <c r="O275" s="4" t="str">
        <f ca="1">IFERROR(__xludf.DUMMYFUNCTION("TEXTJOIN("","", TRUE, FILTER($E$2:$E1000 &amp; $C$2:$C1000, $A$2:$A1000=A275, $B$2:$B1000=B275, $D$2:$D1000&lt;&gt;D275))"),"#N/A")</f>
        <v>#N/A</v>
      </c>
    </row>
    <row r="276" spans="11:15" ht="12.75" x14ac:dyDescent="0.2">
      <c r="K276" s="6"/>
      <c r="L276" s="6"/>
      <c r="O276" s="4" t="str">
        <f ca="1">IFERROR(__xludf.DUMMYFUNCTION("TEXTJOIN("","", TRUE, FILTER($E$2:$E1000 &amp; $C$2:$C1000, $A$2:$A1000=A276, $B$2:$B1000=B276, $D$2:$D1000&lt;&gt;D276))"),"#N/A")</f>
        <v>#N/A</v>
      </c>
    </row>
    <row r="277" spans="11:15" ht="12.75" x14ac:dyDescent="0.2">
      <c r="K277" s="6"/>
      <c r="L277" s="6"/>
      <c r="O277" s="4" t="str">
        <f ca="1">IFERROR(__xludf.DUMMYFUNCTION("TEXTJOIN("","", TRUE, FILTER($E$2:$E1000 &amp; $C$2:$C1000, $A$2:$A1000=A277, $B$2:$B1000=B277, $D$2:$D1000&lt;&gt;D277))"),"#N/A")</f>
        <v>#N/A</v>
      </c>
    </row>
    <row r="278" spans="11:15" ht="12.75" x14ac:dyDescent="0.2">
      <c r="K278" s="6"/>
      <c r="L278" s="6"/>
      <c r="O278" s="4" t="str">
        <f ca="1">IFERROR(__xludf.DUMMYFUNCTION("TEXTJOIN("","", TRUE, FILTER($E$2:$E1000 &amp; $C$2:$C1000, $A$2:$A1000=A278, $B$2:$B1000=B278, $D$2:$D1000&lt;&gt;D278))"),"#N/A")</f>
        <v>#N/A</v>
      </c>
    </row>
    <row r="279" spans="11:15" ht="12.75" x14ac:dyDescent="0.2">
      <c r="K279" s="6"/>
      <c r="L279" s="6"/>
      <c r="O279" s="4" t="str">
        <f ca="1">IFERROR(__xludf.DUMMYFUNCTION("TEXTJOIN("","", TRUE, FILTER($E$2:$E1000 &amp; $C$2:$C1000, $A$2:$A1000=A279, $B$2:$B1000=B279, $D$2:$D1000&lt;&gt;D279))"),"#N/A")</f>
        <v>#N/A</v>
      </c>
    </row>
    <row r="280" spans="11:15" ht="12.75" x14ac:dyDescent="0.2">
      <c r="K280" s="6"/>
      <c r="L280" s="6"/>
      <c r="O280" s="4" t="str">
        <f ca="1">IFERROR(__xludf.DUMMYFUNCTION("TEXTJOIN("","", TRUE, FILTER($E$2:$E1000 &amp; $C$2:$C1000, $A$2:$A1000=A280, $B$2:$B1000=B280, $D$2:$D1000&lt;&gt;D280))"),"#N/A")</f>
        <v>#N/A</v>
      </c>
    </row>
    <row r="281" spans="11:15" ht="12.75" x14ac:dyDescent="0.2">
      <c r="K281" s="6"/>
      <c r="L281" s="6"/>
      <c r="O281" s="4" t="str">
        <f ca="1">IFERROR(__xludf.DUMMYFUNCTION("TEXTJOIN("","", TRUE, FILTER($E$2:$E1000 &amp; $C$2:$C1000, $A$2:$A1000=A281, $B$2:$B1000=B281, $D$2:$D1000&lt;&gt;D281))"),"#N/A")</f>
        <v>#N/A</v>
      </c>
    </row>
    <row r="282" spans="11:15" ht="12.75" x14ac:dyDescent="0.2">
      <c r="K282" s="6"/>
      <c r="L282" s="6"/>
      <c r="O282" s="4" t="str">
        <f ca="1">IFERROR(__xludf.DUMMYFUNCTION("TEXTJOIN("","", TRUE, FILTER($E$2:$E1000 &amp; $C$2:$C1000, $A$2:$A1000=A282, $B$2:$B1000=B282, $D$2:$D1000&lt;&gt;D282))"),"#N/A")</f>
        <v>#N/A</v>
      </c>
    </row>
    <row r="283" spans="11:15" ht="12.75" x14ac:dyDescent="0.2">
      <c r="K283" s="6"/>
      <c r="L283" s="6"/>
      <c r="O283" s="4" t="str">
        <f ca="1">IFERROR(__xludf.DUMMYFUNCTION("TEXTJOIN("","", TRUE, FILTER($E$2:$E1000 &amp; $C$2:$C1000, $A$2:$A1000=A283, $B$2:$B1000=B283, $D$2:$D1000&lt;&gt;D283))"),"#N/A")</f>
        <v>#N/A</v>
      </c>
    </row>
    <row r="284" spans="11:15" ht="12.75" x14ac:dyDescent="0.2">
      <c r="K284" s="6"/>
      <c r="L284" s="6"/>
      <c r="O284" s="4" t="str">
        <f ca="1">IFERROR(__xludf.DUMMYFUNCTION("TEXTJOIN("","", TRUE, FILTER($E$2:$E1000 &amp; $C$2:$C1000, $A$2:$A1000=A284, $B$2:$B1000=B284, $D$2:$D1000&lt;&gt;D284))"),"#N/A")</f>
        <v>#N/A</v>
      </c>
    </row>
    <row r="285" spans="11:15" ht="12.75" x14ac:dyDescent="0.2">
      <c r="K285" s="6"/>
      <c r="L285" s="6"/>
      <c r="O285" s="4" t="str">
        <f ca="1">IFERROR(__xludf.DUMMYFUNCTION("TEXTJOIN("","", TRUE, FILTER($E$2:$E1000 &amp; $C$2:$C1000, $A$2:$A1000=A285, $B$2:$B1000=B285, $D$2:$D1000&lt;&gt;D285))"),"#N/A")</f>
        <v>#N/A</v>
      </c>
    </row>
    <row r="286" spans="11:15" ht="12.75" x14ac:dyDescent="0.2">
      <c r="K286" s="6"/>
      <c r="L286" s="6"/>
      <c r="O286" s="4" t="str">
        <f ca="1">IFERROR(__xludf.DUMMYFUNCTION("TEXTJOIN("","", TRUE, FILTER($E$2:$E1000 &amp; $C$2:$C1000, $A$2:$A1000=A286, $B$2:$B1000=B286, $D$2:$D1000&lt;&gt;D286))"),"#N/A")</f>
        <v>#N/A</v>
      </c>
    </row>
    <row r="287" spans="11:15" ht="12.75" x14ac:dyDescent="0.2">
      <c r="K287" s="6"/>
      <c r="L287" s="6"/>
      <c r="O287" s="4" t="str">
        <f ca="1">IFERROR(__xludf.DUMMYFUNCTION("TEXTJOIN("","", TRUE, FILTER($E$2:$E1000 &amp; $C$2:$C1000, $A$2:$A1000=A287, $B$2:$B1000=B287, $D$2:$D1000&lt;&gt;D287))"),"#N/A")</f>
        <v>#N/A</v>
      </c>
    </row>
    <row r="288" spans="11:15" ht="12.75" x14ac:dyDescent="0.2">
      <c r="K288" s="6"/>
      <c r="L288" s="6"/>
      <c r="O288" s="4" t="str">
        <f ca="1">IFERROR(__xludf.DUMMYFUNCTION("TEXTJOIN("","", TRUE, FILTER($E$2:$E1000 &amp; $C$2:$C1000, $A$2:$A1000=A288, $B$2:$B1000=B288, $D$2:$D1000&lt;&gt;D288))"),"#N/A")</f>
        <v>#N/A</v>
      </c>
    </row>
    <row r="289" spans="11:15" ht="12.75" x14ac:dyDescent="0.2">
      <c r="K289" s="6"/>
      <c r="L289" s="6"/>
      <c r="O289" s="4" t="str">
        <f ca="1">IFERROR(__xludf.DUMMYFUNCTION("TEXTJOIN("","", TRUE, FILTER($E$2:$E1000 &amp; $C$2:$C1000, $A$2:$A1000=A289, $B$2:$B1000=B289, $D$2:$D1000&lt;&gt;D289))"),"#N/A")</f>
        <v>#N/A</v>
      </c>
    </row>
    <row r="290" spans="11:15" ht="12.75" x14ac:dyDescent="0.2">
      <c r="K290" s="6"/>
      <c r="L290" s="6"/>
      <c r="O290" s="4" t="str">
        <f ca="1">IFERROR(__xludf.DUMMYFUNCTION("TEXTJOIN("","", TRUE, FILTER($E$2:$E1000 &amp; $C$2:$C1000, $A$2:$A1000=A290, $B$2:$B1000=B290, $D$2:$D1000&lt;&gt;D290))"),"#N/A")</f>
        <v>#N/A</v>
      </c>
    </row>
    <row r="291" spans="11:15" ht="12.75" x14ac:dyDescent="0.2">
      <c r="K291" s="6"/>
      <c r="L291" s="6"/>
      <c r="O291" s="4" t="str">
        <f ca="1">IFERROR(__xludf.DUMMYFUNCTION("TEXTJOIN("","", TRUE, FILTER($E$2:$E1000 &amp; $C$2:$C1000, $A$2:$A1000=A291, $B$2:$B1000=B291, $D$2:$D1000&lt;&gt;D291))"),"#N/A")</f>
        <v>#N/A</v>
      </c>
    </row>
    <row r="292" spans="11:15" ht="12.75" x14ac:dyDescent="0.2">
      <c r="K292" s="6"/>
      <c r="L292" s="6"/>
      <c r="O292" s="4" t="str">
        <f ca="1">IFERROR(__xludf.DUMMYFUNCTION("TEXTJOIN("","", TRUE, FILTER($E$2:$E1000 &amp; $C$2:$C1000, $A$2:$A1000=A292, $B$2:$B1000=B292, $D$2:$D1000&lt;&gt;D292))"),"#N/A")</f>
        <v>#N/A</v>
      </c>
    </row>
    <row r="293" spans="11:15" ht="12.75" x14ac:dyDescent="0.2">
      <c r="K293" s="6"/>
      <c r="L293" s="6"/>
      <c r="O293" s="4" t="str">
        <f ca="1">IFERROR(__xludf.DUMMYFUNCTION("TEXTJOIN("","", TRUE, FILTER($E$2:$E1000 &amp; $C$2:$C1000, $A$2:$A1000=A293, $B$2:$B1000=B293, $D$2:$D1000&lt;&gt;D293))"),"#N/A")</f>
        <v>#N/A</v>
      </c>
    </row>
    <row r="294" spans="11:15" ht="12.75" x14ac:dyDescent="0.2">
      <c r="K294" s="6"/>
      <c r="L294" s="6"/>
      <c r="O294" s="4" t="str">
        <f ca="1">IFERROR(__xludf.DUMMYFUNCTION("TEXTJOIN("","", TRUE, FILTER($E$2:$E1000 &amp; $C$2:$C1000, $A$2:$A1000=A294, $B$2:$B1000=B294, $D$2:$D1000&lt;&gt;D294))"),"#N/A")</f>
        <v>#N/A</v>
      </c>
    </row>
    <row r="295" spans="11:15" ht="12.75" x14ac:dyDescent="0.2">
      <c r="K295" s="6"/>
      <c r="L295" s="6"/>
      <c r="O295" s="4" t="str">
        <f ca="1">IFERROR(__xludf.DUMMYFUNCTION("TEXTJOIN("","", TRUE, FILTER($E$2:$E1000 &amp; $C$2:$C1000, $A$2:$A1000=A295, $B$2:$B1000=B295, $D$2:$D1000&lt;&gt;D295))"),"#N/A")</f>
        <v>#N/A</v>
      </c>
    </row>
    <row r="296" spans="11:15" ht="12.75" x14ac:dyDescent="0.2">
      <c r="K296" s="6"/>
      <c r="L296" s="6"/>
      <c r="O296" s="4" t="str">
        <f ca="1">IFERROR(__xludf.DUMMYFUNCTION("TEXTJOIN("","", TRUE, FILTER($E$2:$E1000 &amp; $C$2:$C1000, $A$2:$A1000=A296, $B$2:$B1000=B296, $D$2:$D1000&lt;&gt;D296))"),"#N/A")</f>
        <v>#N/A</v>
      </c>
    </row>
    <row r="297" spans="11:15" ht="12.75" x14ac:dyDescent="0.2">
      <c r="K297" s="6"/>
      <c r="L297" s="6"/>
      <c r="O297" s="4" t="str">
        <f ca="1">IFERROR(__xludf.DUMMYFUNCTION("TEXTJOIN("","", TRUE, FILTER($E$2:$E1000 &amp; $C$2:$C1000, $A$2:$A1000=A297, $B$2:$B1000=B297, $D$2:$D1000&lt;&gt;D297))"),"#N/A")</f>
        <v>#N/A</v>
      </c>
    </row>
    <row r="298" spans="11:15" ht="12.75" x14ac:dyDescent="0.2">
      <c r="K298" s="6"/>
      <c r="L298" s="6"/>
      <c r="O298" s="4" t="str">
        <f ca="1">IFERROR(__xludf.DUMMYFUNCTION("TEXTJOIN("","", TRUE, FILTER($E$2:$E1000 &amp; $C$2:$C1000, $A$2:$A1000=A298, $B$2:$B1000=B298, $D$2:$D1000&lt;&gt;D298))"),"#N/A")</f>
        <v>#N/A</v>
      </c>
    </row>
    <row r="299" spans="11:15" ht="12.75" x14ac:dyDescent="0.2">
      <c r="K299" s="6"/>
      <c r="L299" s="6"/>
      <c r="O299" s="4" t="str">
        <f ca="1">IFERROR(__xludf.DUMMYFUNCTION("TEXTJOIN("","", TRUE, FILTER($E$2:$E1000 &amp; $C$2:$C1000, $A$2:$A1000=A299, $B$2:$B1000=B299, $D$2:$D1000&lt;&gt;D299))"),"#N/A")</f>
        <v>#N/A</v>
      </c>
    </row>
    <row r="300" spans="11:15" ht="12.75" x14ac:dyDescent="0.2">
      <c r="K300" s="6"/>
      <c r="L300" s="6"/>
      <c r="O300" s="4" t="str">
        <f ca="1">IFERROR(__xludf.DUMMYFUNCTION("TEXTJOIN("","", TRUE, FILTER($E$2:$E1000 &amp; $C$2:$C1000, $A$2:$A1000=A300, $B$2:$B1000=B300, $D$2:$D1000&lt;&gt;D300))"),"#N/A")</f>
        <v>#N/A</v>
      </c>
    </row>
    <row r="301" spans="11:15" ht="12.75" x14ac:dyDescent="0.2">
      <c r="K301" s="6"/>
      <c r="L301" s="6"/>
      <c r="O301" s="4" t="str">
        <f ca="1">IFERROR(__xludf.DUMMYFUNCTION("TEXTJOIN("","", TRUE, FILTER($E$2:$E1000 &amp; $C$2:$C1000, $A$2:$A1000=A301, $B$2:$B1000=B301, $D$2:$D1000&lt;&gt;D301))"),"#N/A")</f>
        <v>#N/A</v>
      </c>
    </row>
    <row r="302" spans="11:15" ht="12.75" x14ac:dyDescent="0.2">
      <c r="K302" s="6"/>
      <c r="L302" s="6"/>
      <c r="O302" s="4" t="str">
        <f ca="1">IFERROR(__xludf.DUMMYFUNCTION("TEXTJOIN("","", TRUE, FILTER($E$2:$E1000 &amp; $C$2:$C1000, $A$2:$A1000=A302, $B$2:$B1000=B302, $D$2:$D1000&lt;&gt;D302))"),"#N/A")</f>
        <v>#N/A</v>
      </c>
    </row>
    <row r="303" spans="11:15" ht="12.75" x14ac:dyDescent="0.2">
      <c r="K303" s="6"/>
      <c r="L303" s="6"/>
      <c r="O303" s="4" t="str">
        <f ca="1">IFERROR(__xludf.DUMMYFUNCTION("TEXTJOIN("","", TRUE, FILTER($E$2:$E1000 &amp; $C$2:$C1000, $A$2:$A1000=A303, $B$2:$B1000=B303, $D$2:$D1000&lt;&gt;D303))"),"#N/A")</f>
        <v>#N/A</v>
      </c>
    </row>
    <row r="304" spans="11:15" ht="12.75" x14ac:dyDescent="0.2">
      <c r="K304" s="6"/>
      <c r="L304" s="6"/>
      <c r="O304" s="4" t="str">
        <f ca="1">IFERROR(__xludf.DUMMYFUNCTION("TEXTJOIN("","", TRUE, FILTER($E$2:$E1000 &amp; $C$2:$C1000, $A$2:$A1000=A304, $B$2:$B1000=B304, $D$2:$D1000&lt;&gt;D304))"),"#N/A")</f>
        <v>#N/A</v>
      </c>
    </row>
    <row r="305" spans="11:15" ht="12.75" x14ac:dyDescent="0.2">
      <c r="K305" s="6"/>
      <c r="L305" s="6"/>
      <c r="O305" s="4" t="str">
        <f ca="1">IFERROR(__xludf.DUMMYFUNCTION("TEXTJOIN("","", TRUE, FILTER($E$2:$E1000 &amp; $C$2:$C1000, $A$2:$A1000=A305, $B$2:$B1000=B305, $D$2:$D1000&lt;&gt;D305))"),"#N/A")</f>
        <v>#N/A</v>
      </c>
    </row>
    <row r="306" spans="11:15" ht="12.75" x14ac:dyDescent="0.2">
      <c r="K306" s="6"/>
      <c r="L306" s="6"/>
      <c r="O306" s="4" t="str">
        <f ca="1">IFERROR(__xludf.DUMMYFUNCTION("TEXTJOIN("","", TRUE, FILTER($E$2:$E1000 &amp; $C$2:$C1000, $A$2:$A1000=A306, $B$2:$B1000=B306, $D$2:$D1000&lt;&gt;D306))"),"#N/A")</f>
        <v>#N/A</v>
      </c>
    </row>
    <row r="307" spans="11:15" ht="12.75" x14ac:dyDescent="0.2">
      <c r="K307" s="6"/>
      <c r="L307" s="6"/>
      <c r="O307" s="4" t="str">
        <f ca="1">IFERROR(__xludf.DUMMYFUNCTION("TEXTJOIN("","", TRUE, FILTER($E$2:$E1000 &amp; $C$2:$C1000, $A$2:$A1000=A307, $B$2:$B1000=B307, $D$2:$D1000&lt;&gt;D307))"),"#N/A")</f>
        <v>#N/A</v>
      </c>
    </row>
    <row r="308" spans="11:15" ht="12.75" x14ac:dyDescent="0.2">
      <c r="K308" s="6"/>
      <c r="L308" s="6"/>
      <c r="O308" s="4" t="str">
        <f ca="1">IFERROR(__xludf.DUMMYFUNCTION("TEXTJOIN("","", TRUE, FILTER($E$2:$E1000 &amp; $C$2:$C1000, $A$2:$A1000=A308, $B$2:$B1000=B308, $D$2:$D1000&lt;&gt;D308))"),"#N/A")</f>
        <v>#N/A</v>
      </c>
    </row>
    <row r="309" spans="11:15" ht="12.75" x14ac:dyDescent="0.2">
      <c r="K309" s="6"/>
      <c r="L309" s="6"/>
      <c r="O309" s="4" t="str">
        <f ca="1">IFERROR(__xludf.DUMMYFUNCTION("TEXTJOIN("","", TRUE, FILTER($E$2:$E1000 &amp; $C$2:$C1000, $A$2:$A1000=A309, $B$2:$B1000=B309, $D$2:$D1000&lt;&gt;D309))"),"#N/A")</f>
        <v>#N/A</v>
      </c>
    </row>
    <row r="310" spans="11:15" ht="12.75" x14ac:dyDescent="0.2">
      <c r="K310" s="6"/>
      <c r="L310" s="6"/>
      <c r="O310" s="4" t="str">
        <f ca="1">IFERROR(__xludf.DUMMYFUNCTION("TEXTJOIN("","", TRUE, FILTER($E$2:$E1000 &amp; $C$2:$C1000, $A$2:$A1000=A310, $B$2:$B1000=B310, $D$2:$D1000&lt;&gt;D310))"),"#N/A")</f>
        <v>#N/A</v>
      </c>
    </row>
    <row r="311" spans="11:15" ht="12.75" x14ac:dyDescent="0.2">
      <c r="K311" s="6"/>
      <c r="L311" s="6"/>
      <c r="O311" s="4" t="str">
        <f ca="1">IFERROR(__xludf.DUMMYFUNCTION("TEXTJOIN("","", TRUE, FILTER($E$2:$E1000 &amp; $C$2:$C1000, $A$2:$A1000=A311, $B$2:$B1000=B311, $D$2:$D1000&lt;&gt;D311))"),"#N/A")</f>
        <v>#N/A</v>
      </c>
    </row>
    <row r="312" spans="11:15" ht="12.75" x14ac:dyDescent="0.2">
      <c r="K312" s="6"/>
      <c r="L312" s="6"/>
      <c r="O312" s="4" t="str">
        <f ca="1">IFERROR(__xludf.DUMMYFUNCTION("TEXTJOIN("","", TRUE, FILTER($E$2:$E1000 &amp; $C$2:$C1000, $A$2:$A1000=A312, $B$2:$B1000=B312, $D$2:$D1000&lt;&gt;D312))"),"#N/A")</f>
        <v>#N/A</v>
      </c>
    </row>
    <row r="313" spans="11:15" ht="12.75" x14ac:dyDescent="0.2">
      <c r="K313" s="6"/>
      <c r="L313" s="6"/>
      <c r="O313" s="4" t="str">
        <f ca="1">IFERROR(__xludf.DUMMYFUNCTION("TEXTJOIN("","", TRUE, FILTER($E$2:$E1000 &amp; $C$2:$C1000, $A$2:$A1000=A313, $B$2:$B1000=B313, $D$2:$D1000&lt;&gt;D313))"),"#N/A")</f>
        <v>#N/A</v>
      </c>
    </row>
    <row r="314" spans="11:15" ht="12.75" x14ac:dyDescent="0.2">
      <c r="K314" s="6"/>
      <c r="L314" s="6"/>
      <c r="O314" s="4" t="str">
        <f ca="1">IFERROR(__xludf.DUMMYFUNCTION("TEXTJOIN("","", TRUE, FILTER($E$2:$E1000 &amp; $C$2:$C1000, $A$2:$A1000=A314, $B$2:$B1000=B314, $D$2:$D1000&lt;&gt;D314))"),"#N/A")</f>
        <v>#N/A</v>
      </c>
    </row>
    <row r="315" spans="11:15" ht="12.75" x14ac:dyDescent="0.2">
      <c r="K315" s="6"/>
      <c r="L315" s="6"/>
      <c r="O315" s="4" t="str">
        <f ca="1">IFERROR(__xludf.DUMMYFUNCTION("TEXTJOIN("","", TRUE, FILTER($E$2:$E1000 &amp; $C$2:$C1000, $A$2:$A1000=A315, $B$2:$B1000=B315, $D$2:$D1000&lt;&gt;D315))"),"#N/A")</f>
        <v>#N/A</v>
      </c>
    </row>
    <row r="316" spans="11:15" ht="12.75" x14ac:dyDescent="0.2">
      <c r="K316" s="6"/>
      <c r="L316" s="6"/>
      <c r="O316" s="4" t="str">
        <f ca="1">IFERROR(__xludf.DUMMYFUNCTION("TEXTJOIN("","", TRUE, FILTER($E$2:$E1000 &amp; $C$2:$C1000, $A$2:$A1000=A316, $B$2:$B1000=B316, $D$2:$D1000&lt;&gt;D316))"),"#N/A")</f>
        <v>#N/A</v>
      </c>
    </row>
    <row r="317" spans="11:15" ht="12.75" x14ac:dyDescent="0.2">
      <c r="K317" s="6"/>
      <c r="L317" s="6"/>
      <c r="O317" s="4" t="str">
        <f ca="1">IFERROR(__xludf.DUMMYFUNCTION("TEXTJOIN("","", TRUE, FILTER($E$2:$E1000 &amp; $C$2:$C1000, $A$2:$A1000=A317, $B$2:$B1000=B317, $D$2:$D1000&lt;&gt;D317))"),"#N/A")</f>
        <v>#N/A</v>
      </c>
    </row>
    <row r="318" spans="11:15" ht="12.75" x14ac:dyDescent="0.2">
      <c r="K318" s="6"/>
      <c r="L318" s="6"/>
      <c r="O318" s="4" t="str">
        <f ca="1">IFERROR(__xludf.DUMMYFUNCTION("TEXTJOIN("","", TRUE, FILTER($E$2:$E1000 &amp; $C$2:$C1000, $A$2:$A1000=A318, $B$2:$B1000=B318, $D$2:$D1000&lt;&gt;D318))"),"#N/A")</f>
        <v>#N/A</v>
      </c>
    </row>
    <row r="319" spans="11:15" ht="12.75" x14ac:dyDescent="0.2">
      <c r="K319" s="6"/>
      <c r="L319" s="6"/>
      <c r="O319" s="4" t="str">
        <f ca="1">IFERROR(__xludf.DUMMYFUNCTION("TEXTJOIN("","", TRUE, FILTER($E$2:$E1000 &amp; $C$2:$C1000, $A$2:$A1000=A319, $B$2:$B1000=B319, $D$2:$D1000&lt;&gt;D319))"),"#N/A")</f>
        <v>#N/A</v>
      </c>
    </row>
    <row r="320" spans="11:15" ht="12.75" x14ac:dyDescent="0.2">
      <c r="K320" s="6"/>
      <c r="L320" s="6"/>
      <c r="O320" s="4" t="str">
        <f ca="1">IFERROR(__xludf.DUMMYFUNCTION("TEXTJOIN("","", TRUE, FILTER($E$2:$E1000 &amp; $C$2:$C1000, $A$2:$A1000=A320, $B$2:$B1000=B320, $D$2:$D1000&lt;&gt;D320))"),"#N/A")</f>
        <v>#N/A</v>
      </c>
    </row>
    <row r="321" spans="11:15" ht="12.75" x14ac:dyDescent="0.2">
      <c r="K321" s="6"/>
      <c r="L321" s="6"/>
      <c r="O321" s="4" t="str">
        <f ca="1">IFERROR(__xludf.DUMMYFUNCTION("TEXTJOIN("","", TRUE, FILTER($E$2:$E1000 &amp; $C$2:$C1000, $A$2:$A1000=A321, $B$2:$B1000=B321, $D$2:$D1000&lt;&gt;D321))"),"#N/A")</f>
        <v>#N/A</v>
      </c>
    </row>
    <row r="322" spans="11:15" ht="12.75" x14ac:dyDescent="0.2">
      <c r="K322" s="6"/>
      <c r="L322" s="6"/>
      <c r="O322" s="4" t="str">
        <f ca="1">IFERROR(__xludf.DUMMYFUNCTION("TEXTJOIN("","", TRUE, FILTER($E$2:$E1000 &amp; $C$2:$C1000, $A$2:$A1000=A322, $B$2:$B1000=B322, $D$2:$D1000&lt;&gt;D322))"),"#N/A")</f>
        <v>#N/A</v>
      </c>
    </row>
    <row r="323" spans="11:15" ht="12.75" x14ac:dyDescent="0.2">
      <c r="K323" s="6"/>
      <c r="L323" s="6"/>
      <c r="O323" s="4" t="str">
        <f ca="1">IFERROR(__xludf.DUMMYFUNCTION("TEXTJOIN("","", TRUE, FILTER($E$2:$E1000 &amp; $C$2:$C1000, $A$2:$A1000=A323, $B$2:$B1000=B323, $D$2:$D1000&lt;&gt;D323))"),"#N/A")</f>
        <v>#N/A</v>
      </c>
    </row>
    <row r="324" spans="11:15" ht="12.75" x14ac:dyDescent="0.2">
      <c r="K324" s="6"/>
      <c r="L324" s="6"/>
      <c r="O324" s="4" t="str">
        <f ca="1">IFERROR(__xludf.DUMMYFUNCTION("TEXTJOIN("","", TRUE, FILTER($E$2:$E1000 &amp; $C$2:$C1000, $A$2:$A1000=A324, $B$2:$B1000=B324, $D$2:$D1000&lt;&gt;D324))"),"#N/A")</f>
        <v>#N/A</v>
      </c>
    </row>
    <row r="325" spans="11:15" ht="12.75" x14ac:dyDescent="0.2">
      <c r="K325" s="6"/>
      <c r="L325" s="6"/>
      <c r="O325" s="4" t="str">
        <f ca="1">IFERROR(__xludf.DUMMYFUNCTION("TEXTJOIN("","", TRUE, FILTER($E$2:$E1000 &amp; $C$2:$C1000, $A$2:$A1000=A325, $B$2:$B1000=B325, $D$2:$D1000&lt;&gt;D325))"),"#N/A")</f>
        <v>#N/A</v>
      </c>
    </row>
    <row r="326" spans="11:15" ht="12.75" x14ac:dyDescent="0.2">
      <c r="K326" s="6"/>
      <c r="L326" s="6"/>
      <c r="O326" s="4" t="str">
        <f ca="1">IFERROR(__xludf.DUMMYFUNCTION("TEXTJOIN("","", TRUE, FILTER($E$2:$E1000 &amp; $C$2:$C1000, $A$2:$A1000=A326, $B$2:$B1000=B326, $D$2:$D1000&lt;&gt;D326))"),"#N/A")</f>
        <v>#N/A</v>
      </c>
    </row>
    <row r="327" spans="11:15" ht="12.75" x14ac:dyDescent="0.2">
      <c r="K327" s="6"/>
      <c r="L327" s="6"/>
      <c r="O327" s="4" t="str">
        <f ca="1">IFERROR(__xludf.DUMMYFUNCTION("TEXTJOIN("","", TRUE, FILTER($E$2:$E1000 &amp; $C$2:$C1000, $A$2:$A1000=A327, $B$2:$B1000=B327, $D$2:$D1000&lt;&gt;D327))"),"#N/A")</f>
        <v>#N/A</v>
      </c>
    </row>
    <row r="328" spans="11:15" ht="12.75" x14ac:dyDescent="0.2">
      <c r="K328" s="6"/>
      <c r="L328" s="6"/>
      <c r="O328" s="4" t="str">
        <f ca="1">IFERROR(__xludf.DUMMYFUNCTION("TEXTJOIN("","", TRUE, FILTER($E$2:$E1000 &amp; $C$2:$C1000, $A$2:$A1000=A328, $B$2:$B1000=B328, $D$2:$D1000&lt;&gt;D328))"),"#N/A")</f>
        <v>#N/A</v>
      </c>
    </row>
    <row r="329" spans="11:15" ht="12.75" x14ac:dyDescent="0.2">
      <c r="K329" s="6"/>
      <c r="L329" s="6"/>
      <c r="O329" s="4" t="str">
        <f ca="1">IFERROR(__xludf.DUMMYFUNCTION("TEXTJOIN("","", TRUE, FILTER($E$2:$E1000 &amp; $C$2:$C1000, $A$2:$A1000=A329, $B$2:$B1000=B329, $D$2:$D1000&lt;&gt;D329))"),"#N/A")</f>
        <v>#N/A</v>
      </c>
    </row>
    <row r="330" spans="11:15" ht="12.75" x14ac:dyDescent="0.2">
      <c r="K330" s="6"/>
      <c r="L330" s="6"/>
      <c r="O330" s="4" t="str">
        <f ca="1">IFERROR(__xludf.DUMMYFUNCTION("TEXTJOIN("","", TRUE, FILTER($E$2:$E1000 &amp; $C$2:$C1000, $A$2:$A1000=A330, $B$2:$B1000=B330, $D$2:$D1000&lt;&gt;D330))"),"#N/A")</f>
        <v>#N/A</v>
      </c>
    </row>
    <row r="331" spans="11:15" ht="12.75" x14ac:dyDescent="0.2">
      <c r="K331" s="6"/>
      <c r="L331" s="6"/>
      <c r="O331" s="4" t="str">
        <f ca="1">IFERROR(__xludf.DUMMYFUNCTION("TEXTJOIN("","", TRUE, FILTER($E$2:$E1000 &amp; $C$2:$C1000, $A$2:$A1000=A331, $B$2:$B1000=B331, $D$2:$D1000&lt;&gt;D331))"),"#N/A")</f>
        <v>#N/A</v>
      </c>
    </row>
    <row r="332" spans="11:15" ht="12.75" x14ac:dyDescent="0.2">
      <c r="K332" s="6"/>
      <c r="L332" s="6"/>
      <c r="O332" s="4" t="str">
        <f ca="1">IFERROR(__xludf.DUMMYFUNCTION("TEXTJOIN("","", TRUE, FILTER($E$2:$E1000 &amp; $C$2:$C1000, $A$2:$A1000=A332, $B$2:$B1000=B332, $D$2:$D1000&lt;&gt;D332))"),"#N/A")</f>
        <v>#N/A</v>
      </c>
    </row>
    <row r="333" spans="11:15" ht="12.75" x14ac:dyDescent="0.2">
      <c r="K333" s="6"/>
      <c r="L333" s="6"/>
      <c r="O333" s="4" t="str">
        <f ca="1">IFERROR(__xludf.DUMMYFUNCTION("TEXTJOIN("","", TRUE, FILTER($E$2:$E1000 &amp; $C$2:$C1000, $A$2:$A1000=A333, $B$2:$B1000=B333, $D$2:$D1000&lt;&gt;D333))"),"#N/A")</f>
        <v>#N/A</v>
      </c>
    </row>
    <row r="334" spans="11:15" ht="12.75" x14ac:dyDescent="0.2">
      <c r="K334" s="6"/>
      <c r="L334" s="6"/>
      <c r="O334" s="4" t="str">
        <f ca="1">IFERROR(__xludf.DUMMYFUNCTION("TEXTJOIN("","", TRUE, FILTER($E$2:$E1000 &amp; $C$2:$C1000, $A$2:$A1000=A334, $B$2:$B1000=B334, $D$2:$D1000&lt;&gt;D334))"),"#N/A")</f>
        <v>#N/A</v>
      </c>
    </row>
    <row r="335" spans="11:15" ht="12.75" x14ac:dyDescent="0.2">
      <c r="K335" s="6"/>
      <c r="L335" s="6"/>
      <c r="O335" s="4" t="str">
        <f ca="1">IFERROR(__xludf.DUMMYFUNCTION("TEXTJOIN("","", TRUE, FILTER($E$2:$E1000 &amp; $C$2:$C1000, $A$2:$A1000=A335, $B$2:$B1000=B335, $D$2:$D1000&lt;&gt;D335))"),"#N/A")</f>
        <v>#N/A</v>
      </c>
    </row>
    <row r="336" spans="11:15" ht="12.75" x14ac:dyDescent="0.2">
      <c r="K336" s="6"/>
      <c r="L336" s="6"/>
      <c r="O336" s="4" t="str">
        <f ca="1">IFERROR(__xludf.DUMMYFUNCTION("TEXTJOIN("","", TRUE, FILTER($E$2:$E1000 &amp; $C$2:$C1000, $A$2:$A1000=A336, $B$2:$B1000=B336, $D$2:$D1000&lt;&gt;D336))"),"#N/A")</f>
        <v>#N/A</v>
      </c>
    </row>
    <row r="337" spans="11:15" ht="12.75" x14ac:dyDescent="0.2">
      <c r="K337" s="6"/>
      <c r="L337" s="6"/>
      <c r="O337" s="4" t="str">
        <f ca="1">IFERROR(__xludf.DUMMYFUNCTION("TEXTJOIN("","", TRUE, FILTER($E$2:$E1000 &amp; $C$2:$C1000, $A$2:$A1000=A337, $B$2:$B1000=B337, $D$2:$D1000&lt;&gt;D337))"),"#N/A")</f>
        <v>#N/A</v>
      </c>
    </row>
    <row r="338" spans="11:15" ht="12.75" x14ac:dyDescent="0.2">
      <c r="K338" s="6"/>
      <c r="L338" s="6"/>
      <c r="O338" s="4" t="str">
        <f ca="1">IFERROR(__xludf.DUMMYFUNCTION("TEXTJOIN("","", TRUE, FILTER($E$2:$E1000 &amp; $C$2:$C1000, $A$2:$A1000=A338, $B$2:$B1000=B338, $D$2:$D1000&lt;&gt;D338))"),"#N/A")</f>
        <v>#N/A</v>
      </c>
    </row>
    <row r="339" spans="11:15" ht="12.75" x14ac:dyDescent="0.2">
      <c r="K339" s="6"/>
      <c r="L339" s="6"/>
      <c r="O339" s="4" t="str">
        <f ca="1">IFERROR(__xludf.DUMMYFUNCTION("TEXTJOIN("","", TRUE, FILTER($E$2:$E1000 &amp; $C$2:$C1000, $A$2:$A1000=A339, $B$2:$B1000=B339, $D$2:$D1000&lt;&gt;D339))"),"#N/A")</f>
        <v>#N/A</v>
      </c>
    </row>
    <row r="340" spans="11:15" ht="12.75" x14ac:dyDescent="0.2">
      <c r="K340" s="6"/>
      <c r="L340" s="6"/>
      <c r="O340" s="4" t="str">
        <f ca="1">IFERROR(__xludf.DUMMYFUNCTION("TEXTJOIN("","", TRUE, FILTER($E$2:$E1000 &amp; $C$2:$C1000, $A$2:$A1000=A340, $B$2:$B1000=B340, $D$2:$D1000&lt;&gt;D340))"),"#N/A")</f>
        <v>#N/A</v>
      </c>
    </row>
    <row r="341" spans="11:15" ht="12.75" x14ac:dyDescent="0.2">
      <c r="K341" s="6"/>
      <c r="L341" s="6"/>
      <c r="O341" s="4" t="str">
        <f ca="1">IFERROR(__xludf.DUMMYFUNCTION("TEXTJOIN("","", TRUE, FILTER($E$2:$E1000 &amp; $C$2:$C1000, $A$2:$A1000=A341, $B$2:$B1000=B341, $D$2:$D1000&lt;&gt;D341))"),"#N/A")</f>
        <v>#N/A</v>
      </c>
    </row>
    <row r="342" spans="11:15" ht="12.75" x14ac:dyDescent="0.2">
      <c r="K342" s="6"/>
      <c r="L342" s="6"/>
      <c r="O342" s="4" t="str">
        <f ca="1">IFERROR(__xludf.DUMMYFUNCTION("TEXTJOIN("","", TRUE, FILTER($E$2:$E1000 &amp; $C$2:$C1000, $A$2:$A1000=A342, $B$2:$B1000=B342, $D$2:$D1000&lt;&gt;D342))"),"#N/A")</f>
        <v>#N/A</v>
      </c>
    </row>
    <row r="343" spans="11:15" ht="12.75" x14ac:dyDescent="0.2">
      <c r="K343" s="6"/>
      <c r="L343" s="6"/>
      <c r="O343" s="4" t="str">
        <f ca="1">IFERROR(__xludf.DUMMYFUNCTION("TEXTJOIN("","", TRUE, FILTER($E$2:$E1000 &amp; $C$2:$C1000, $A$2:$A1000=A343, $B$2:$B1000=B343, $D$2:$D1000&lt;&gt;D343))"),"#N/A")</f>
        <v>#N/A</v>
      </c>
    </row>
    <row r="344" spans="11:15" ht="12.75" x14ac:dyDescent="0.2">
      <c r="K344" s="6"/>
      <c r="L344" s="6"/>
      <c r="O344" s="4" t="str">
        <f ca="1">IFERROR(__xludf.DUMMYFUNCTION("TEXTJOIN("","", TRUE, FILTER($E$2:$E1000 &amp; $C$2:$C1000, $A$2:$A1000=A344, $B$2:$B1000=B344, $D$2:$D1000&lt;&gt;D344))"),"#N/A")</f>
        <v>#N/A</v>
      </c>
    </row>
    <row r="345" spans="11:15" ht="12.75" x14ac:dyDescent="0.2">
      <c r="K345" s="6"/>
      <c r="L345" s="6"/>
      <c r="O345" s="4" t="str">
        <f ca="1">IFERROR(__xludf.DUMMYFUNCTION("TEXTJOIN("","", TRUE, FILTER($E$2:$E1000 &amp; $C$2:$C1000, $A$2:$A1000=A345, $B$2:$B1000=B345, $D$2:$D1000&lt;&gt;D345))"),"#N/A")</f>
        <v>#N/A</v>
      </c>
    </row>
    <row r="346" spans="11:15" ht="12.75" x14ac:dyDescent="0.2">
      <c r="K346" s="6"/>
      <c r="L346" s="6"/>
      <c r="O346" s="4" t="str">
        <f ca="1">IFERROR(__xludf.DUMMYFUNCTION("TEXTJOIN("","", TRUE, FILTER($E$2:$E1000 &amp; $C$2:$C1000, $A$2:$A1000=A346, $B$2:$B1000=B346, $D$2:$D1000&lt;&gt;D346))"),"#N/A")</f>
        <v>#N/A</v>
      </c>
    </row>
    <row r="347" spans="11:15" ht="12.75" x14ac:dyDescent="0.2">
      <c r="K347" s="6"/>
      <c r="L347" s="6"/>
      <c r="O347" s="4" t="str">
        <f ca="1">IFERROR(__xludf.DUMMYFUNCTION("TEXTJOIN("","", TRUE, FILTER($E$2:$E1000 &amp; $C$2:$C1000, $A$2:$A1000=A347, $B$2:$B1000=B347, $D$2:$D1000&lt;&gt;D347))"),"#N/A")</f>
        <v>#N/A</v>
      </c>
    </row>
    <row r="348" spans="11:15" ht="12.75" x14ac:dyDescent="0.2">
      <c r="K348" s="6"/>
      <c r="L348" s="6"/>
      <c r="O348" s="4" t="str">
        <f ca="1">IFERROR(__xludf.DUMMYFUNCTION("TEXTJOIN("","", TRUE, FILTER($E$2:$E1000 &amp; $C$2:$C1000, $A$2:$A1000=A348, $B$2:$B1000=B348, $D$2:$D1000&lt;&gt;D348))"),"#N/A")</f>
        <v>#N/A</v>
      </c>
    </row>
    <row r="349" spans="11:15" ht="12.75" x14ac:dyDescent="0.2">
      <c r="K349" s="6"/>
      <c r="L349" s="6"/>
      <c r="O349" s="4" t="str">
        <f ca="1">IFERROR(__xludf.DUMMYFUNCTION("TEXTJOIN("","", TRUE, FILTER($E$2:$E1000 &amp; $C$2:$C1000, $A$2:$A1000=A349, $B$2:$B1000=B349, $D$2:$D1000&lt;&gt;D349))"),"#N/A")</f>
        <v>#N/A</v>
      </c>
    </row>
    <row r="350" spans="11:15" ht="12.75" x14ac:dyDescent="0.2">
      <c r="K350" s="6"/>
      <c r="L350" s="6"/>
      <c r="O350" s="4" t="str">
        <f ca="1">IFERROR(__xludf.DUMMYFUNCTION("TEXTJOIN("","", TRUE, FILTER($E$2:$E1000 &amp; $C$2:$C1000, $A$2:$A1000=A350, $B$2:$B1000=B350, $D$2:$D1000&lt;&gt;D350))"),"#N/A")</f>
        <v>#N/A</v>
      </c>
    </row>
    <row r="351" spans="11:15" ht="12.75" x14ac:dyDescent="0.2">
      <c r="K351" s="6"/>
      <c r="L351" s="6"/>
      <c r="O351" s="4" t="str">
        <f ca="1">IFERROR(__xludf.DUMMYFUNCTION("TEXTJOIN("","", TRUE, FILTER($E$2:$E1000 &amp; $C$2:$C1000, $A$2:$A1000=A351, $B$2:$B1000=B351, $D$2:$D1000&lt;&gt;D351))"),"#N/A")</f>
        <v>#N/A</v>
      </c>
    </row>
    <row r="352" spans="11:15" ht="12.75" x14ac:dyDescent="0.2">
      <c r="K352" s="6"/>
      <c r="L352" s="6"/>
      <c r="O352" s="4" t="str">
        <f ca="1">IFERROR(__xludf.DUMMYFUNCTION("TEXTJOIN("","", TRUE, FILTER($E$2:$E1000 &amp; $C$2:$C1000, $A$2:$A1000=A352, $B$2:$B1000=B352, $D$2:$D1000&lt;&gt;D352))"),"#N/A")</f>
        <v>#N/A</v>
      </c>
    </row>
    <row r="353" spans="11:15" ht="12.75" x14ac:dyDescent="0.2">
      <c r="K353" s="6"/>
      <c r="L353" s="6"/>
      <c r="O353" s="4" t="str">
        <f ca="1">IFERROR(__xludf.DUMMYFUNCTION("TEXTJOIN("","", TRUE, FILTER($E$2:$E1000 &amp; $C$2:$C1000, $A$2:$A1000=A353, $B$2:$B1000=B353, $D$2:$D1000&lt;&gt;D353))"),"#N/A")</f>
        <v>#N/A</v>
      </c>
    </row>
    <row r="354" spans="11:15" ht="12.75" x14ac:dyDescent="0.2">
      <c r="K354" s="6"/>
      <c r="L354" s="6"/>
      <c r="O354" s="4" t="str">
        <f ca="1">IFERROR(__xludf.DUMMYFUNCTION("TEXTJOIN("","", TRUE, FILTER($E$2:$E1000 &amp; $C$2:$C1000, $A$2:$A1000=A354, $B$2:$B1000=B354, $D$2:$D1000&lt;&gt;D354))"),"#N/A")</f>
        <v>#N/A</v>
      </c>
    </row>
    <row r="355" spans="11:15" ht="12.75" x14ac:dyDescent="0.2">
      <c r="K355" s="6"/>
      <c r="L355" s="6"/>
      <c r="O355" s="4" t="str">
        <f ca="1">IFERROR(__xludf.DUMMYFUNCTION("TEXTJOIN("","", TRUE, FILTER($E$2:$E1000 &amp; $C$2:$C1000, $A$2:$A1000=A355, $B$2:$B1000=B355, $D$2:$D1000&lt;&gt;D355))"),"#N/A")</f>
        <v>#N/A</v>
      </c>
    </row>
    <row r="356" spans="11:15" ht="12.75" x14ac:dyDescent="0.2">
      <c r="K356" s="6"/>
      <c r="L356" s="6"/>
      <c r="O356" s="4" t="str">
        <f ca="1">IFERROR(__xludf.DUMMYFUNCTION("TEXTJOIN("","", TRUE, FILTER($E$2:$E1000 &amp; $C$2:$C1000, $A$2:$A1000=A356, $B$2:$B1000=B356, $D$2:$D1000&lt;&gt;D356))"),"#N/A")</f>
        <v>#N/A</v>
      </c>
    </row>
    <row r="357" spans="11:15" ht="12.75" x14ac:dyDescent="0.2">
      <c r="K357" s="6"/>
      <c r="L357" s="6"/>
      <c r="O357" s="4" t="str">
        <f ca="1">IFERROR(__xludf.DUMMYFUNCTION("TEXTJOIN("","", TRUE, FILTER($E$2:$E1000 &amp; $C$2:$C1000, $A$2:$A1000=A357, $B$2:$B1000=B357, $D$2:$D1000&lt;&gt;D357))"),"#N/A")</f>
        <v>#N/A</v>
      </c>
    </row>
    <row r="358" spans="11:15" ht="12.75" x14ac:dyDescent="0.2">
      <c r="K358" s="6"/>
      <c r="L358" s="6"/>
      <c r="O358" s="4" t="str">
        <f ca="1">IFERROR(__xludf.DUMMYFUNCTION("TEXTJOIN("","", TRUE, FILTER($E$2:$E1000 &amp; $C$2:$C1000, $A$2:$A1000=A358, $B$2:$B1000=B358, $D$2:$D1000&lt;&gt;D358))"),"#N/A")</f>
        <v>#N/A</v>
      </c>
    </row>
    <row r="359" spans="11:15" ht="12.75" x14ac:dyDescent="0.2">
      <c r="K359" s="6"/>
      <c r="L359" s="6"/>
      <c r="O359" s="4" t="str">
        <f ca="1">IFERROR(__xludf.DUMMYFUNCTION("TEXTJOIN("","", TRUE, FILTER($E$2:$E1000 &amp; $C$2:$C1000, $A$2:$A1000=A359, $B$2:$B1000=B359, $D$2:$D1000&lt;&gt;D359))"),"#N/A")</f>
        <v>#N/A</v>
      </c>
    </row>
    <row r="360" spans="11:15" ht="12.75" x14ac:dyDescent="0.2">
      <c r="K360" s="6"/>
      <c r="L360" s="6"/>
      <c r="O360" s="4" t="str">
        <f ca="1">IFERROR(__xludf.DUMMYFUNCTION("TEXTJOIN("","", TRUE, FILTER($E$2:$E1000 &amp; $C$2:$C1000, $A$2:$A1000=A360, $B$2:$B1000=B360, $D$2:$D1000&lt;&gt;D360))"),"#N/A")</f>
        <v>#N/A</v>
      </c>
    </row>
    <row r="361" spans="11:15" ht="12.75" x14ac:dyDescent="0.2">
      <c r="K361" s="6"/>
      <c r="L361" s="6"/>
      <c r="O361" s="4" t="str">
        <f ca="1">IFERROR(__xludf.DUMMYFUNCTION("TEXTJOIN("","", TRUE, FILTER($E$2:$E1000 &amp; $C$2:$C1000, $A$2:$A1000=A361, $B$2:$B1000=B361, $D$2:$D1000&lt;&gt;D361))"),"#N/A")</f>
        <v>#N/A</v>
      </c>
    </row>
    <row r="362" spans="11:15" ht="12.75" x14ac:dyDescent="0.2">
      <c r="K362" s="6"/>
      <c r="L362" s="6"/>
      <c r="O362" s="4" t="str">
        <f ca="1">IFERROR(__xludf.DUMMYFUNCTION("TEXTJOIN("","", TRUE, FILTER($E$2:$E1000 &amp; $C$2:$C1000, $A$2:$A1000=A362, $B$2:$B1000=B362, $D$2:$D1000&lt;&gt;D362))"),"#N/A")</f>
        <v>#N/A</v>
      </c>
    </row>
    <row r="363" spans="11:15" ht="12.75" x14ac:dyDescent="0.2">
      <c r="K363" s="6"/>
      <c r="L363" s="6"/>
      <c r="O363" s="4" t="str">
        <f ca="1">IFERROR(__xludf.DUMMYFUNCTION("TEXTJOIN("","", TRUE, FILTER($E$2:$E1000 &amp; $C$2:$C1000, $A$2:$A1000=A363, $B$2:$B1000=B363, $D$2:$D1000&lt;&gt;D363))"),"#N/A")</f>
        <v>#N/A</v>
      </c>
    </row>
    <row r="364" spans="11:15" ht="12.75" x14ac:dyDescent="0.2">
      <c r="K364" s="6"/>
      <c r="L364" s="6"/>
      <c r="O364" s="4" t="str">
        <f ca="1">IFERROR(__xludf.DUMMYFUNCTION("TEXTJOIN("","", TRUE, FILTER($E$2:$E1000 &amp; $C$2:$C1000, $A$2:$A1000=A364, $B$2:$B1000=B364, $D$2:$D1000&lt;&gt;D364))"),"#N/A")</f>
        <v>#N/A</v>
      </c>
    </row>
    <row r="365" spans="11:15" ht="12.75" x14ac:dyDescent="0.2">
      <c r="K365" s="6"/>
      <c r="L365" s="6"/>
      <c r="O365" s="4" t="str">
        <f ca="1">IFERROR(__xludf.DUMMYFUNCTION("TEXTJOIN("","", TRUE, FILTER($E$2:$E1000 &amp; $C$2:$C1000, $A$2:$A1000=A365, $B$2:$B1000=B365, $D$2:$D1000&lt;&gt;D365))"),"#N/A")</f>
        <v>#N/A</v>
      </c>
    </row>
    <row r="366" spans="11:15" ht="12.75" x14ac:dyDescent="0.2">
      <c r="K366" s="6"/>
      <c r="L366" s="6"/>
      <c r="O366" s="4" t="str">
        <f ca="1">IFERROR(__xludf.DUMMYFUNCTION("TEXTJOIN("","", TRUE, FILTER($E$2:$E1000 &amp; $C$2:$C1000, $A$2:$A1000=A366, $B$2:$B1000=B366, $D$2:$D1000&lt;&gt;D366))"),"#N/A")</f>
        <v>#N/A</v>
      </c>
    </row>
    <row r="367" spans="11:15" ht="12.75" x14ac:dyDescent="0.2">
      <c r="K367" s="6"/>
      <c r="L367" s="6"/>
      <c r="O367" s="4" t="str">
        <f ca="1">IFERROR(__xludf.DUMMYFUNCTION("TEXTJOIN("","", TRUE, FILTER($E$2:$E1000 &amp; $C$2:$C1000, $A$2:$A1000=A367, $B$2:$B1000=B367, $D$2:$D1000&lt;&gt;D367))"),"#N/A")</f>
        <v>#N/A</v>
      </c>
    </row>
    <row r="368" spans="11:15" ht="12.75" x14ac:dyDescent="0.2">
      <c r="K368" s="6"/>
      <c r="L368" s="6"/>
      <c r="O368" s="4" t="str">
        <f ca="1">IFERROR(__xludf.DUMMYFUNCTION("TEXTJOIN("","", TRUE, FILTER($E$2:$E1000 &amp; $C$2:$C1000, $A$2:$A1000=A368, $B$2:$B1000=B368, $D$2:$D1000&lt;&gt;D368))"),"#N/A")</f>
        <v>#N/A</v>
      </c>
    </row>
    <row r="369" spans="11:15" ht="12.75" x14ac:dyDescent="0.2">
      <c r="K369" s="6"/>
      <c r="L369" s="6"/>
      <c r="O369" s="4" t="str">
        <f ca="1">IFERROR(__xludf.DUMMYFUNCTION("TEXTJOIN("","", TRUE, FILTER($E$2:$E1000 &amp; $C$2:$C1000, $A$2:$A1000=A369, $B$2:$B1000=B369, $D$2:$D1000&lt;&gt;D369))"),"#N/A")</f>
        <v>#N/A</v>
      </c>
    </row>
    <row r="370" spans="11:15" ht="12.75" x14ac:dyDescent="0.2">
      <c r="K370" s="6"/>
      <c r="L370" s="6"/>
      <c r="O370" s="4" t="str">
        <f ca="1">IFERROR(__xludf.DUMMYFUNCTION("TEXTJOIN("","", TRUE, FILTER($E$2:$E1000 &amp; $C$2:$C1000, $A$2:$A1000=A370, $B$2:$B1000=B370, $D$2:$D1000&lt;&gt;D370))"),"#N/A")</f>
        <v>#N/A</v>
      </c>
    </row>
    <row r="371" spans="11:15" ht="12.75" x14ac:dyDescent="0.2">
      <c r="K371" s="6"/>
      <c r="L371" s="6"/>
      <c r="O371" s="4" t="str">
        <f ca="1">IFERROR(__xludf.DUMMYFUNCTION("TEXTJOIN("","", TRUE, FILTER($E$2:$E1000 &amp; $C$2:$C1000, $A$2:$A1000=A371, $B$2:$B1000=B371, $D$2:$D1000&lt;&gt;D371))"),"#N/A")</f>
        <v>#N/A</v>
      </c>
    </row>
    <row r="372" spans="11:15" ht="12.75" x14ac:dyDescent="0.2">
      <c r="K372" s="6"/>
      <c r="L372" s="6"/>
      <c r="O372" s="4" t="str">
        <f ca="1">IFERROR(__xludf.DUMMYFUNCTION("TEXTJOIN("","", TRUE, FILTER($E$2:$E1000 &amp; $C$2:$C1000, $A$2:$A1000=A372, $B$2:$B1000=B372, $D$2:$D1000&lt;&gt;D372))"),"#N/A")</f>
        <v>#N/A</v>
      </c>
    </row>
    <row r="373" spans="11:15" ht="12.75" x14ac:dyDescent="0.2">
      <c r="K373" s="6"/>
      <c r="L373" s="6"/>
      <c r="O373" s="4" t="str">
        <f ca="1">IFERROR(__xludf.DUMMYFUNCTION("TEXTJOIN("","", TRUE, FILTER($E$2:$E1000 &amp; $C$2:$C1000, $A$2:$A1000=A373, $B$2:$B1000=B373, $D$2:$D1000&lt;&gt;D373))"),"#N/A")</f>
        <v>#N/A</v>
      </c>
    </row>
    <row r="374" spans="11:15" ht="12.75" x14ac:dyDescent="0.2">
      <c r="K374" s="6"/>
      <c r="L374" s="6"/>
      <c r="O374" s="4" t="str">
        <f ca="1">IFERROR(__xludf.DUMMYFUNCTION("TEXTJOIN("","", TRUE, FILTER($E$2:$E1000 &amp; $C$2:$C1000, $A$2:$A1000=A374, $B$2:$B1000=B374, $D$2:$D1000&lt;&gt;D374))"),"#N/A")</f>
        <v>#N/A</v>
      </c>
    </row>
    <row r="375" spans="11:15" ht="12.75" x14ac:dyDescent="0.2">
      <c r="K375" s="6"/>
      <c r="L375" s="6"/>
      <c r="O375" s="4" t="str">
        <f ca="1">IFERROR(__xludf.DUMMYFUNCTION("TEXTJOIN("","", TRUE, FILTER($E$2:$E1000 &amp; $C$2:$C1000, $A$2:$A1000=A375, $B$2:$B1000=B375, $D$2:$D1000&lt;&gt;D375))"),"#N/A")</f>
        <v>#N/A</v>
      </c>
    </row>
    <row r="376" spans="11:15" ht="12.75" x14ac:dyDescent="0.2">
      <c r="K376" s="6"/>
      <c r="L376" s="6"/>
      <c r="O376" s="4" t="str">
        <f ca="1">IFERROR(__xludf.DUMMYFUNCTION("TEXTJOIN("","", TRUE, FILTER($E$2:$E1000 &amp; $C$2:$C1000, $A$2:$A1000=A376, $B$2:$B1000=B376, $D$2:$D1000&lt;&gt;D376))"),"#N/A")</f>
        <v>#N/A</v>
      </c>
    </row>
    <row r="377" spans="11:15" ht="12.75" x14ac:dyDescent="0.2">
      <c r="K377" s="6"/>
      <c r="L377" s="6"/>
      <c r="O377" s="4" t="str">
        <f ca="1">IFERROR(__xludf.DUMMYFUNCTION("TEXTJOIN("","", TRUE, FILTER($E$2:$E1000 &amp; $C$2:$C1000, $A$2:$A1000=A377, $B$2:$B1000=B377, $D$2:$D1000&lt;&gt;D377))"),"#N/A")</f>
        <v>#N/A</v>
      </c>
    </row>
    <row r="378" spans="11:15" ht="12.75" x14ac:dyDescent="0.2">
      <c r="K378" s="6"/>
      <c r="L378" s="6"/>
      <c r="O378" s="4" t="str">
        <f ca="1">IFERROR(__xludf.DUMMYFUNCTION("TEXTJOIN("","", TRUE, FILTER($E$2:$E1000 &amp; $C$2:$C1000, $A$2:$A1000=A378, $B$2:$B1000=B378, $D$2:$D1000&lt;&gt;D378))"),"#N/A")</f>
        <v>#N/A</v>
      </c>
    </row>
    <row r="379" spans="11:15" ht="12.75" x14ac:dyDescent="0.2">
      <c r="K379" s="6"/>
      <c r="L379" s="6"/>
      <c r="O379" s="4" t="str">
        <f ca="1">IFERROR(__xludf.DUMMYFUNCTION("TEXTJOIN("","", TRUE, FILTER($E$2:$E1000 &amp; $C$2:$C1000, $A$2:$A1000=A379, $B$2:$B1000=B379, $D$2:$D1000&lt;&gt;D379))"),"#N/A")</f>
        <v>#N/A</v>
      </c>
    </row>
    <row r="380" spans="11:15" ht="12.75" x14ac:dyDescent="0.2">
      <c r="K380" s="6"/>
      <c r="L380" s="6"/>
      <c r="O380" s="4" t="str">
        <f ca="1">IFERROR(__xludf.DUMMYFUNCTION("TEXTJOIN("","", TRUE, FILTER($E$2:$E1000 &amp; $C$2:$C1000, $A$2:$A1000=A380, $B$2:$B1000=B380, $D$2:$D1000&lt;&gt;D380))"),"#N/A")</f>
        <v>#N/A</v>
      </c>
    </row>
    <row r="381" spans="11:15" ht="12.75" x14ac:dyDescent="0.2">
      <c r="K381" s="6"/>
      <c r="L381" s="6"/>
      <c r="O381" s="4" t="str">
        <f ca="1">IFERROR(__xludf.DUMMYFUNCTION("TEXTJOIN("","", TRUE, FILTER($E$2:$E1000 &amp; $C$2:$C1000, $A$2:$A1000=A381, $B$2:$B1000=B381, $D$2:$D1000&lt;&gt;D381))"),"#N/A")</f>
        <v>#N/A</v>
      </c>
    </row>
    <row r="382" spans="11:15" ht="12.75" x14ac:dyDescent="0.2">
      <c r="K382" s="6"/>
      <c r="L382" s="6"/>
      <c r="O382" s="4" t="str">
        <f ca="1">IFERROR(__xludf.DUMMYFUNCTION("TEXTJOIN("","", TRUE, FILTER($E$2:$E1000 &amp; $C$2:$C1000, $A$2:$A1000=A382, $B$2:$B1000=B382, $D$2:$D1000&lt;&gt;D382))"),"#N/A")</f>
        <v>#N/A</v>
      </c>
    </row>
    <row r="383" spans="11:15" ht="12.75" x14ac:dyDescent="0.2">
      <c r="K383" s="6"/>
      <c r="L383" s="6"/>
      <c r="O383" s="4" t="str">
        <f ca="1">IFERROR(__xludf.DUMMYFUNCTION("TEXTJOIN("","", TRUE, FILTER($E$2:$E1000 &amp; $C$2:$C1000, $A$2:$A1000=A383, $B$2:$B1000=B383, $D$2:$D1000&lt;&gt;D383))"),"#N/A")</f>
        <v>#N/A</v>
      </c>
    </row>
    <row r="384" spans="11:15" ht="12.75" x14ac:dyDescent="0.2">
      <c r="K384" s="6"/>
      <c r="L384" s="6"/>
      <c r="O384" s="4" t="str">
        <f ca="1">IFERROR(__xludf.DUMMYFUNCTION("TEXTJOIN("","", TRUE, FILTER($E$2:$E1000 &amp; $C$2:$C1000, $A$2:$A1000=A384, $B$2:$B1000=B384, $D$2:$D1000&lt;&gt;D384))"),"#N/A")</f>
        <v>#N/A</v>
      </c>
    </row>
    <row r="385" spans="11:15" ht="12.75" x14ac:dyDescent="0.2">
      <c r="K385" s="6"/>
      <c r="L385" s="6"/>
      <c r="O385" s="4" t="str">
        <f ca="1">IFERROR(__xludf.DUMMYFUNCTION("TEXTJOIN("","", TRUE, FILTER($E$2:$E1000 &amp; $C$2:$C1000, $A$2:$A1000=A385, $B$2:$B1000=B385, $D$2:$D1000&lt;&gt;D385))"),"#N/A")</f>
        <v>#N/A</v>
      </c>
    </row>
    <row r="386" spans="11:15" ht="12.75" x14ac:dyDescent="0.2">
      <c r="K386" s="6"/>
      <c r="L386" s="6"/>
      <c r="O386" s="4" t="str">
        <f ca="1">IFERROR(__xludf.DUMMYFUNCTION("TEXTJOIN("","", TRUE, FILTER($E$2:$E1000 &amp; $C$2:$C1000, $A$2:$A1000=A386, $B$2:$B1000=B386, $D$2:$D1000&lt;&gt;D386))"),"#N/A")</f>
        <v>#N/A</v>
      </c>
    </row>
    <row r="387" spans="11:15" ht="12.75" x14ac:dyDescent="0.2">
      <c r="K387" s="6"/>
      <c r="L387" s="6"/>
      <c r="O387" s="4" t="str">
        <f ca="1">IFERROR(__xludf.DUMMYFUNCTION("TEXTJOIN("","", TRUE, FILTER($E$2:$E1000 &amp; $C$2:$C1000, $A$2:$A1000=A387, $B$2:$B1000=B387, $D$2:$D1000&lt;&gt;D387))"),"#N/A")</f>
        <v>#N/A</v>
      </c>
    </row>
    <row r="388" spans="11:15" ht="12.75" x14ac:dyDescent="0.2">
      <c r="K388" s="6"/>
      <c r="L388" s="6"/>
      <c r="O388" s="4" t="str">
        <f ca="1">IFERROR(__xludf.DUMMYFUNCTION("TEXTJOIN("","", TRUE, FILTER($E$2:$E1000 &amp; $C$2:$C1000, $A$2:$A1000=A388, $B$2:$B1000=B388, $D$2:$D1000&lt;&gt;D388))"),"#N/A")</f>
        <v>#N/A</v>
      </c>
    </row>
    <row r="389" spans="11:15" ht="12.75" x14ac:dyDescent="0.2">
      <c r="K389" s="6"/>
      <c r="L389" s="6"/>
      <c r="O389" s="4" t="str">
        <f ca="1">IFERROR(__xludf.DUMMYFUNCTION("TEXTJOIN("","", TRUE, FILTER($E$2:$E1000 &amp; $C$2:$C1000, $A$2:$A1000=A389, $B$2:$B1000=B389, $D$2:$D1000&lt;&gt;D389))"),"#N/A")</f>
        <v>#N/A</v>
      </c>
    </row>
    <row r="390" spans="11:15" ht="12.75" x14ac:dyDescent="0.2">
      <c r="K390" s="6"/>
      <c r="L390" s="6"/>
      <c r="O390" s="4" t="str">
        <f ca="1">IFERROR(__xludf.DUMMYFUNCTION("TEXTJOIN("","", TRUE, FILTER($E$2:$E1000 &amp; $C$2:$C1000, $A$2:$A1000=A390, $B$2:$B1000=B390, $D$2:$D1000&lt;&gt;D390))"),"#N/A")</f>
        <v>#N/A</v>
      </c>
    </row>
    <row r="391" spans="11:15" ht="12.75" x14ac:dyDescent="0.2">
      <c r="K391" s="6"/>
      <c r="L391" s="6"/>
      <c r="O391" s="4" t="str">
        <f ca="1">IFERROR(__xludf.DUMMYFUNCTION("TEXTJOIN("","", TRUE, FILTER($E$2:$E1000 &amp; $C$2:$C1000, $A$2:$A1000=A391, $B$2:$B1000=B391, $D$2:$D1000&lt;&gt;D391))"),"#N/A")</f>
        <v>#N/A</v>
      </c>
    </row>
    <row r="392" spans="11:15" ht="12.75" x14ac:dyDescent="0.2">
      <c r="K392" s="6"/>
      <c r="L392" s="6"/>
      <c r="O392" s="4" t="str">
        <f ca="1">IFERROR(__xludf.DUMMYFUNCTION("TEXTJOIN("","", TRUE, FILTER($E$2:$E1000 &amp; $C$2:$C1000, $A$2:$A1000=A392, $B$2:$B1000=B392, $D$2:$D1000&lt;&gt;D392))"),"#N/A")</f>
        <v>#N/A</v>
      </c>
    </row>
    <row r="393" spans="11:15" ht="12.75" x14ac:dyDescent="0.2">
      <c r="K393" s="6"/>
      <c r="L393" s="6"/>
      <c r="O393" s="4" t="str">
        <f ca="1">IFERROR(__xludf.DUMMYFUNCTION("TEXTJOIN("","", TRUE, FILTER($E$2:$E1000 &amp; $C$2:$C1000, $A$2:$A1000=A393, $B$2:$B1000=B393, $D$2:$D1000&lt;&gt;D393))"),"#N/A")</f>
        <v>#N/A</v>
      </c>
    </row>
    <row r="394" spans="11:15" ht="12.75" x14ac:dyDescent="0.2">
      <c r="K394" s="6"/>
      <c r="L394" s="6"/>
      <c r="O394" s="4" t="str">
        <f ca="1">IFERROR(__xludf.DUMMYFUNCTION("TEXTJOIN("","", TRUE, FILTER($E$2:$E1000 &amp; $C$2:$C1000, $A$2:$A1000=A394, $B$2:$B1000=B394, $D$2:$D1000&lt;&gt;D394))"),"#N/A")</f>
        <v>#N/A</v>
      </c>
    </row>
    <row r="395" spans="11:15" ht="12.75" x14ac:dyDescent="0.2">
      <c r="K395" s="6"/>
      <c r="L395" s="6"/>
      <c r="O395" s="4" t="str">
        <f ca="1">IFERROR(__xludf.DUMMYFUNCTION("TEXTJOIN("","", TRUE, FILTER($E$2:$E1000 &amp; $C$2:$C1000, $A$2:$A1000=A395, $B$2:$B1000=B395, $D$2:$D1000&lt;&gt;D395))"),"#N/A")</f>
        <v>#N/A</v>
      </c>
    </row>
    <row r="396" spans="11:15" ht="12.75" x14ac:dyDescent="0.2">
      <c r="K396" s="6"/>
      <c r="L396" s="6"/>
      <c r="O396" s="4" t="str">
        <f ca="1">IFERROR(__xludf.DUMMYFUNCTION("TEXTJOIN("","", TRUE, FILTER($E$2:$E1000 &amp; $C$2:$C1000, $A$2:$A1000=A396, $B$2:$B1000=B396, $D$2:$D1000&lt;&gt;D396))"),"#N/A")</f>
        <v>#N/A</v>
      </c>
    </row>
    <row r="397" spans="11:15" ht="12.75" x14ac:dyDescent="0.2">
      <c r="K397" s="6"/>
      <c r="L397" s="6"/>
      <c r="O397" s="4" t="str">
        <f ca="1">IFERROR(__xludf.DUMMYFUNCTION("TEXTJOIN("","", TRUE, FILTER($E$2:$E1000 &amp; $C$2:$C1000, $A$2:$A1000=A397, $B$2:$B1000=B397, $D$2:$D1000&lt;&gt;D397))"),"#N/A")</f>
        <v>#N/A</v>
      </c>
    </row>
    <row r="398" spans="11:15" ht="12.75" x14ac:dyDescent="0.2">
      <c r="K398" s="6"/>
      <c r="L398" s="6"/>
      <c r="O398" s="4" t="str">
        <f ca="1">IFERROR(__xludf.DUMMYFUNCTION("TEXTJOIN("","", TRUE, FILTER($E$2:$E1000 &amp; $C$2:$C1000, $A$2:$A1000=A398, $B$2:$B1000=B398, $D$2:$D1000&lt;&gt;D398))"),"#N/A")</f>
        <v>#N/A</v>
      </c>
    </row>
    <row r="399" spans="11:15" ht="12.75" x14ac:dyDescent="0.2">
      <c r="K399" s="6"/>
      <c r="L399" s="6"/>
      <c r="O399" s="4" t="str">
        <f ca="1">IFERROR(__xludf.DUMMYFUNCTION("TEXTJOIN("","", TRUE, FILTER($E$2:$E1000 &amp; $C$2:$C1000, $A$2:$A1000=A399, $B$2:$B1000=B399, $D$2:$D1000&lt;&gt;D399))"),"#N/A")</f>
        <v>#N/A</v>
      </c>
    </row>
    <row r="400" spans="11:15" ht="12.75" x14ac:dyDescent="0.2">
      <c r="K400" s="6"/>
      <c r="L400" s="6"/>
      <c r="O400" s="4" t="str">
        <f ca="1">IFERROR(__xludf.DUMMYFUNCTION("TEXTJOIN("","", TRUE, FILTER($E$2:$E1000 &amp; $C$2:$C1000, $A$2:$A1000=A400, $B$2:$B1000=B400, $D$2:$D1000&lt;&gt;D400))"),"#N/A")</f>
        <v>#N/A</v>
      </c>
    </row>
    <row r="401" spans="11:15" ht="12.75" x14ac:dyDescent="0.2">
      <c r="K401" s="6"/>
      <c r="L401" s="6"/>
      <c r="O401" s="4" t="str">
        <f ca="1">IFERROR(__xludf.DUMMYFUNCTION("TEXTJOIN("","", TRUE, FILTER($E$2:$E1000 &amp; $C$2:$C1000, $A$2:$A1000=A401, $B$2:$B1000=B401, $D$2:$D1000&lt;&gt;D401))"),"#N/A")</f>
        <v>#N/A</v>
      </c>
    </row>
    <row r="402" spans="11:15" ht="12.75" x14ac:dyDescent="0.2">
      <c r="K402" s="6"/>
      <c r="L402" s="6"/>
      <c r="O402" s="4" t="str">
        <f ca="1">IFERROR(__xludf.DUMMYFUNCTION("TEXTJOIN("","", TRUE, FILTER($E$2:$E1000 &amp; $C$2:$C1000, $A$2:$A1000=A402, $B$2:$B1000=B402, $D$2:$D1000&lt;&gt;D402))"),"#N/A")</f>
        <v>#N/A</v>
      </c>
    </row>
    <row r="403" spans="11:15" ht="12.75" x14ac:dyDescent="0.2">
      <c r="K403" s="6"/>
      <c r="L403" s="6"/>
      <c r="O403" s="4" t="str">
        <f ca="1">IFERROR(__xludf.DUMMYFUNCTION("TEXTJOIN("","", TRUE, FILTER($E$2:$E1000 &amp; $C$2:$C1000, $A$2:$A1000=A403, $B$2:$B1000=B403, $D$2:$D1000&lt;&gt;D403))"),"#N/A")</f>
        <v>#N/A</v>
      </c>
    </row>
    <row r="404" spans="11:15" ht="12.75" x14ac:dyDescent="0.2">
      <c r="K404" s="6"/>
      <c r="L404" s="6"/>
      <c r="O404" s="4" t="str">
        <f ca="1">IFERROR(__xludf.DUMMYFUNCTION("TEXTJOIN("","", TRUE, FILTER($E$2:$E1000 &amp; $C$2:$C1000, $A$2:$A1000=A404, $B$2:$B1000=B404, $D$2:$D1000&lt;&gt;D404))"),"#N/A")</f>
        <v>#N/A</v>
      </c>
    </row>
    <row r="405" spans="11:15" ht="12.75" x14ac:dyDescent="0.2">
      <c r="K405" s="6"/>
      <c r="L405" s="6"/>
      <c r="O405" s="4" t="str">
        <f ca="1">IFERROR(__xludf.DUMMYFUNCTION("TEXTJOIN("","", TRUE, FILTER($E$2:$E1000 &amp; $C$2:$C1000, $A$2:$A1000=A405, $B$2:$B1000=B405, $D$2:$D1000&lt;&gt;D405))"),"#N/A")</f>
        <v>#N/A</v>
      </c>
    </row>
    <row r="406" spans="11:15" ht="12.75" x14ac:dyDescent="0.2">
      <c r="K406" s="6"/>
      <c r="L406" s="6"/>
      <c r="O406" s="4" t="str">
        <f ca="1">IFERROR(__xludf.DUMMYFUNCTION("TEXTJOIN("","", TRUE, FILTER($E$2:$E1000 &amp; $C$2:$C1000, $A$2:$A1000=A406, $B$2:$B1000=B406, $D$2:$D1000&lt;&gt;D406))"),"#N/A")</f>
        <v>#N/A</v>
      </c>
    </row>
    <row r="407" spans="11:15" ht="12.75" x14ac:dyDescent="0.2">
      <c r="K407" s="6"/>
      <c r="L407" s="6"/>
      <c r="O407" s="4" t="str">
        <f ca="1">IFERROR(__xludf.DUMMYFUNCTION("TEXTJOIN("","", TRUE, FILTER($E$2:$E1000 &amp; $C$2:$C1000, $A$2:$A1000=A407, $B$2:$B1000=B407, $D$2:$D1000&lt;&gt;D407))"),"#N/A")</f>
        <v>#N/A</v>
      </c>
    </row>
    <row r="408" spans="11:15" ht="12.75" x14ac:dyDescent="0.2">
      <c r="K408" s="6"/>
      <c r="L408" s="6"/>
      <c r="O408" s="4" t="str">
        <f ca="1">IFERROR(__xludf.DUMMYFUNCTION("TEXTJOIN("","", TRUE, FILTER($E$2:$E1000 &amp; $C$2:$C1000, $A$2:$A1000=A408, $B$2:$B1000=B408, $D$2:$D1000&lt;&gt;D408))"),"#N/A")</f>
        <v>#N/A</v>
      </c>
    </row>
    <row r="409" spans="11:15" ht="12.75" x14ac:dyDescent="0.2">
      <c r="K409" s="6"/>
      <c r="L409" s="6"/>
      <c r="O409" s="4" t="str">
        <f ca="1">IFERROR(__xludf.DUMMYFUNCTION("TEXTJOIN("","", TRUE, FILTER($E$2:$E1000 &amp; $C$2:$C1000, $A$2:$A1000=A409, $B$2:$B1000=B409, $D$2:$D1000&lt;&gt;D409))"),"#N/A")</f>
        <v>#N/A</v>
      </c>
    </row>
    <row r="410" spans="11:15" ht="12.75" x14ac:dyDescent="0.2">
      <c r="K410" s="6"/>
      <c r="L410" s="6"/>
      <c r="O410" s="4" t="str">
        <f ca="1">IFERROR(__xludf.DUMMYFUNCTION("TEXTJOIN("","", TRUE, FILTER($E$2:$E1000 &amp; $C$2:$C1000, $A$2:$A1000=A410, $B$2:$B1000=B410, $D$2:$D1000&lt;&gt;D410))"),"#N/A")</f>
        <v>#N/A</v>
      </c>
    </row>
    <row r="411" spans="11:15" ht="12.75" x14ac:dyDescent="0.2">
      <c r="K411" s="6"/>
      <c r="L411" s="6"/>
      <c r="O411" s="4" t="str">
        <f ca="1">IFERROR(__xludf.DUMMYFUNCTION("TEXTJOIN("","", TRUE, FILTER($E$2:$E1000 &amp; $C$2:$C1000, $A$2:$A1000=A411, $B$2:$B1000=B411, $D$2:$D1000&lt;&gt;D411))"),"#N/A")</f>
        <v>#N/A</v>
      </c>
    </row>
    <row r="412" spans="11:15" ht="12.75" x14ac:dyDescent="0.2">
      <c r="K412" s="6"/>
      <c r="L412" s="6"/>
      <c r="O412" s="4" t="str">
        <f ca="1">IFERROR(__xludf.DUMMYFUNCTION("TEXTJOIN("","", TRUE, FILTER($E$2:$E1000 &amp; $C$2:$C1000, $A$2:$A1000=A412, $B$2:$B1000=B412, $D$2:$D1000&lt;&gt;D412))"),"#N/A")</f>
        <v>#N/A</v>
      </c>
    </row>
    <row r="413" spans="11:15" ht="12.75" x14ac:dyDescent="0.2">
      <c r="K413" s="6"/>
      <c r="L413" s="6"/>
      <c r="O413" s="4" t="str">
        <f ca="1">IFERROR(__xludf.DUMMYFUNCTION("TEXTJOIN("","", TRUE, FILTER($E$2:$E1000 &amp; $C$2:$C1000, $A$2:$A1000=A413, $B$2:$B1000=B413, $D$2:$D1000&lt;&gt;D413))"),"#N/A")</f>
        <v>#N/A</v>
      </c>
    </row>
    <row r="414" spans="11:15" ht="12.75" x14ac:dyDescent="0.2">
      <c r="K414" s="6"/>
      <c r="L414" s="6"/>
      <c r="O414" s="4" t="str">
        <f ca="1">IFERROR(__xludf.DUMMYFUNCTION("TEXTJOIN("","", TRUE, FILTER($E$2:$E1000 &amp; $C$2:$C1000, $A$2:$A1000=A414, $B$2:$B1000=B414, $D$2:$D1000&lt;&gt;D414))"),"#N/A")</f>
        <v>#N/A</v>
      </c>
    </row>
    <row r="415" spans="11:15" ht="12.75" x14ac:dyDescent="0.2">
      <c r="K415" s="6"/>
      <c r="L415" s="6"/>
      <c r="O415" s="4" t="str">
        <f ca="1">IFERROR(__xludf.DUMMYFUNCTION("TEXTJOIN("","", TRUE, FILTER($E$2:$E1000 &amp; $C$2:$C1000, $A$2:$A1000=A415, $B$2:$B1000=B415, $D$2:$D1000&lt;&gt;D415))"),"#N/A")</f>
        <v>#N/A</v>
      </c>
    </row>
    <row r="416" spans="11:15" ht="12.75" x14ac:dyDescent="0.2">
      <c r="K416" s="6"/>
      <c r="L416" s="6"/>
      <c r="O416" s="4" t="str">
        <f ca="1">IFERROR(__xludf.DUMMYFUNCTION("TEXTJOIN("","", TRUE, FILTER($E$2:$E1000 &amp; $C$2:$C1000, $A$2:$A1000=A416, $B$2:$B1000=B416, $D$2:$D1000&lt;&gt;D416))"),"#N/A")</f>
        <v>#N/A</v>
      </c>
    </row>
    <row r="417" spans="11:15" ht="12.75" x14ac:dyDescent="0.2">
      <c r="K417" s="6"/>
      <c r="L417" s="6"/>
      <c r="O417" s="4" t="str">
        <f ca="1">IFERROR(__xludf.DUMMYFUNCTION("TEXTJOIN("","", TRUE, FILTER($E$2:$E1000 &amp; $C$2:$C1000, $A$2:$A1000=A417, $B$2:$B1000=B417, $D$2:$D1000&lt;&gt;D417))"),"#N/A")</f>
        <v>#N/A</v>
      </c>
    </row>
    <row r="418" spans="11:15" ht="12.75" x14ac:dyDescent="0.2">
      <c r="K418" s="6"/>
      <c r="L418" s="6"/>
      <c r="O418" s="4" t="str">
        <f ca="1">IFERROR(__xludf.DUMMYFUNCTION("TEXTJOIN("","", TRUE, FILTER($E$2:$E1000 &amp; $C$2:$C1000, $A$2:$A1000=A418, $B$2:$B1000=B418, $D$2:$D1000&lt;&gt;D418))"),"#N/A")</f>
        <v>#N/A</v>
      </c>
    </row>
    <row r="419" spans="11:15" ht="12.75" x14ac:dyDescent="0.2">
      <c r="K419" s="6"/>
      <c r="L419" s="6"/>
      <c r="O419" s="4" t="str">
        <f ca="1">IFERROR(__xludf.DUMMYFUNCTION("TEXTJOIN("","", TRUE, FILTER($E$2:$E1000 &amp; $C$2:$C1000, $A$2:$A1000=A419, $B$2:$B1000=B419, $D$2:$D1000&lt;&gt;D419))"),"#N/A")</f>
        <v>#N/A</v>
      </c>
    </row>
    <row r="420" spans="11:15" ht="12.75" x14ac:dyDescent="0.2">
      <c r="K420" s="6"/>
      <c r="L420" s="6"/>
      <c r="O420" s="4" t="str">
        <f ca="1">IFERROR(__xludf.DUMMYFUNCTION("TEXTJOIN("","", TRUE, FILTER($E$2:$E1000 &amp; $C$2:$C1000, $A$2:$A1000=A420, $B$2:$B1000=B420, $D$2:$D1000&lt;&gt;D420))"),"#N/A")</f>
        <v>#N/A</v>
      </c>
    </row>
    <row r="421" spans="11:15" ht="12.75" x14ac:dyDescent="0.2">
      <c r="K421" s="6"/>
      <c r="L421" s="6"/>
      <c r="O421" s="4" t="str">
        <f ca="1">IFERROR(__xludf.DUMMYFUNCTION("TEXTJOIN("","", TRUE, FILTER($E$2:$E1000 &amp; $C$2:$C1000, $A$2:$A1000=A421, $B$2:$B1000=B421, $D$2:$D1000&lt;&gt;D421))"),"#N/A")</f>
        <v>#N/A</v>
      </c>
    </row>
    <row r="422" spans="11:15" ht="12.75" x14ac:dyDescent="0.2">
      <c r="K422" s="6"/>
      <c r="L422" s="6"/>
      <c r="O422" s="4" t="str">
        <f ca="1">IFERROR(__xludf.DUMMYFUNCTION("TEXTJOIN("","", TRUE, FILTER($E$2:$E1000 &amp; $C$2:$C1000, $A$2:$A1000=A422, $B$2:$B1000=B422, $D$2:$D1000&lt;&gt;D422))"),"#N/A")</f>
        <v>#N/A</v>
      </c>
    </row>
    <row r="423" spans="11:15" ht="12.75" x14ac:dyDescent="0.2">
      <c r="K423" s="6"/>
      <c r="L423" s="6"/>
      <c r="O423" s="4" t="str">
        <f ca="1">IFERROR(__xludf.DUMMYFUNCTION("TEXTJOIN("","", TRUE, FILTER($E$2:$E1000 &amp; $C$2:$C1000, $A$2:$A1000=A423, $B$2:$B1000=B423, $D$2:$D1000&lt;&gt;D423))"),"#N/A")</f>
        <v>#N/A</v>
      </c>
    </row>
    <row r="424" spans="11:15" ht="12.75" x14ac:dyDescent="0.2">
      <c r="K424" s="6"/>
      <c r="L424" s="6"/>
      <c r="O424" s="4" t="str">
        <f ca="1">IFERROR(__xludf.DUMMYFUNCTION("TEXTJOIN("","", TRUE, FILTER($E$2:$E1000 &amp; $C$2:$C1000, $A$2:$A1000=A424, $B$2:$B1000=B424, $D$2:$D1000&lt;&gt;D424))"),"#N/A")</f>
        <v>#N/A</v>
      </c>
    </row>
    <row r="425" spans="11:15" ht="12.75" x14ac:dyDescent="0.2">
      <c r="K425" s="6"/>
      <c r="L425" s="6"/>
      <c r="O425" s="4" t="str">
        <f ca="1">IFERROR(__xludf.DUMMYFUNCTION("TEXTJOIN("","", TRUE, FILTER($E$2:$E1000 &amp; $C$2:$C1000, $A$2:$A1000=A425, $B$2:$B1000=B425, $D$2:$D1000&lt;&gt;D425))"),"#N/A")</f>
        <v>#N/A</v>
      </c>
    </row>
    <row r="426" spans="11:15" ht="12.75" x14ac:dyDescent="0.2">
      <c r="K426" s="6"/>
      <c r="L426" s="6"/>
      <c r="O426" s="4" t="str">
        <f ca="1">IFERROR(__xludf.DUMMYFUNCTION("TEXTJOIN("","", TRUE, FILTER($E$2:$E1000 &amp; $C$2:$C1000, $A$2:$A1000=A426, $B$2:$B1000=B426, $D$2:$D1000&lt;&gt;D426))"),"#N/A")</f>
        <v>#N/A</v>
      </c>
    </row>
    <row r="427" spans="11:15" ht="12.75" x14ac:dyDescent="0.2">
      <c r="K427" s="6"/>
      <c r="L427" s="6"/>
      <c r="O427" s="4" t="str">
        <f ca="1">IFERROR(__xludf.DUMMYFUNCTION("TEXTJOIN("","", TRUE, FILTER($E$2:$E1000 &amp; $C$2:$C1000, $A$2:$A1000=A427, $B$2:$B1000=B427, $D$2:$D1000&lt;&gt;D427))"),"#N/A")</f>
        <v>#N/A</v>
      </c>
    </row>
    <row r="428" spans="11:15" ht="12.75" x14ac:dyDescent="0.2">
      <c r="K428" s="6"/>
      <c r="L428" s="6"/>
      <c r="O428" s="4" t="str">
        <f ca="1">IFERROR(__xludf.DUMMYFUNCTION("TEXTJOIN("","", TRUE, FILTER($E$2:$E1000 &amp; $C$2:$C1000, $A$2:$A1000=A428, $B$2:$B1000=B428, $D$2:$D1000&lt;&gt;D428))"),"#N/A")</f>
        <v>#N/A</v>
      </c>
    </row>
    <row r="429" spans="11:15" ht="12.75" x14ac:dyDescent="0.2">
      <c r="K429" s="6"/>
      <c r="L429" s="6"/>
      <c r="O429" s="4" t="str">
        <f ca="1">IFERROR(__xludf.DUMMYFUNCTION("TEXTJOIN("","", TRUE, FILTER($E$2:$E1000 &amp; $C$2:$C1000, $A$2:$A1000=A429, $B$2:$B1000=B429, $D$2:$D1000&lt;&gt;D429))"),"#N/A")</f>
        <v>#N/A</v>
      </c>
    </row>
    <row r="430" spans="11:15" ht="12.75" x14ac:dyDescent="0.2">
      <c r="K430" s="6"/>
      <c r="L430" s="6"/>
      <c r="O430" s="4" t="str">
        <f ca="1">IFERROR(__xludf.DUMMYFUNCTION("TEXTJOIN("","", TRUE, FILTER($E$2:$E1000 &amp; $C$2:$C1000, $A$2:$A1000=A430, $B$2:$B1000=B430, $D$2:$D1000&lt;&gt;D430))"),"#N/A")</f>
        <v>#N/A</v>
      </c>
    </row>
    <row r="431" spans="11:15" ht="12.75" x14ac:dyDescent="0.2">
      <c r="K431" s="6"/>
      <c r="L431" s="6"/>
      <c r="O431" s="4" t="str">
        <f ca="1">IFERROR(__xludf.DUMMYFUNCTION("TEXTJOIN("","", TRUE, FILTER($E$2:$E1000 &amp; $C$2:$C1000, $A$2:$A1000=A431, $B$2:$B1000=B431, $D$2:$D1000&lt;&gt;D431))"),"#N/A")</f>
        <v>#N/A</v>
      </c>
    </row>
    <row r="432" spans="11:15" ht="12.75" x14ac:dyDescent="0.2">
      <c r="K432" s="6"/>
      <c r="L432" s="6"/>
      <c r="O432" s="4" t="str">
        <f ca="1">IFERROR(__xludf.DUMMYFUNCTION("TEXTJOIN("","", TRUE, FILTER($E$2:$E1000 &amp; $C$2:$C1000, $A$2:$A1000=A432, $B$2:$B1000=B432, $D$2:$D1000&lt;&gt;D432))"),"#N/A")</f>
        <v>#N/A</v>
      </c>
    </row>
    <row r="433" spans="11:15" ht="12.75" x14ac:dyDescent="0.2">
      <c r="K433" s="6"/>
      <c r="L433" s="6"/>
      <c r="O433" s="4" t="str">
        <f ca="1">IFERROR(__xludf.DUMMYFUNCTION("TEXTJOIN("","", TRUE, FILTER($E$2:$E1000 &amp; $C$2:$C1000, $A$2:$A1000=A433, $B$2:$B1000=B433, $D$2:$D1000&lt;&gt;D433))"),"#N/A")</f>
        <v>#N/A</v>
      </c>
    </row>
    <row r="434" spans="11:15" ht="12.75" x14ac:dyDescent="0.2">
      <c r="K434" s="6"/>
      <c r="L434" s="6"/>
      <c r="O434" s="4" t="str">
        <f ca="1">IFERROR(__xludf.DUMMYFUNCTION("TEXTJOIN("","", TRUE, FILTER($E$2:$E1000 &amp; $C$2:$C1000, $A$2:$A1000=A434, $B$2:$B1000=B434, $D$2:$D1000&lt;&gt;D434))"),"#N/A")</f>
        <v>#N/A</v>
      </c>
    </row>
    <row r="435" spans="11:15" ht="12.75" x14ac:dyDescent="0.2">
      <c r="K435" s="6"/>
      <c r="L435" s="6"/>
      <c r="O435" s="4" t="str">
        <f ca="1">IFERROR(__xludf.DUMMYFUNCTION("TEXTJOIN("","", TRUE, FILTER($E$2:$E1000 &amp; $C$2:$C1000, $A$2:$A1000=A435, $B$2:$B1000=B435, $D$2:$D1000&lt;&gt;D435))"),"#N/A")</f>
        <v>#N/A</v>
      </c>
    </row>
    <row r="436" spans="11:15" ht="12.75" x14ac:dyDescent="0.2">
      <c r="K436" s="6"/>
      <c r="L436" s="6"/>
      <c r="O436" s="4" t="str">
        <f ca="1">IFERROR(__xludf.DUMMYFUNCTION("TEXTJOIN("","", TRUE, FILTER($E$2:$E1000 &amp; $C$2:$C1000, $A$2:$A1000=A436, $B$2:$B1000=B436, $D$2:$D1000&lt;&gt;D436))"),"#N/A")</f>
        <v>#N/A</v>
      </c>
    </row>
    <row r="437" spans="11:15" ht="12.75" x14ac:dyDescent="0.2">
      <c r="K437" s="6"/>
      <c r="L437" s="6"/>
      <c r="O437" s="4" t="str">
        <f ca="1">IFERROR(__xludf.DUMMYFUNCTION("TEXTJOIN("","", TRUE, FILTER($E$2:$E1000 &amp; $C$2:$C1000, $A$2:$A1000=A437, $B$2:$B1000=B437, $D$2:$D1000&lt;&gt;D437))"),"#N/A")</f>
        <v>#N/A</v>
      </c>
    </row>
    <row r="438" spans="11:15" ht="12.75" x14ac:dyDescent="0.2">
      <c r="K438" s="6"/>
      <c r="L438" s="6"/>
      <c r="O438" s="4" t="str">
        <f ca="1">IFERROR(__xludf.DUMMYFUNCTION("TEXTJOIN("","", TRUE, FILTER($E$2:$E1000 &amp; $C$2:$C1000, $A$2:$A1000=A438, $B$2:$B1000=B438, $D$2:$D1000&lt;&gt;D438))"),"#N/A")</f>
        <v>#N/A</v>
      </c>
    </row>
    <row r="439" spans="11:15" ht="12.75" x14ac:dyDescent="0.2">
      <c r="K439" s="6"/>
      <c r="L439" s="6"/>
      <c r="O439" s="4" t="str">
        <f ca="1">IFERROR(__xludf.DUMMYFUNCTION("TEXTJOIN("","", TRUE, FILTER($E$2:$E1000 &amp; $C$2:$C1000, $A$2:$A1000=A439, $B$2:$B1000=B439, $D$2:$D1000&lt;&gt;D439))"),"#N/A")</f>
        <v>#N/A</v>
      </c>
    </row>
    <row r="440" spans="11:15" ht="12.75" x14ac:dyDescent="0.2">
      <c r="K440" s="6"/>
      <c r="L440" s="6"/>
      <c r="O440" s="4" t="str">
        <f ca="1">IFERROR(__xludf.DUMMYFUNCTION("TEXTJOIN("","", TRUE, FILTER($E$2:$E1000 &amp; $C$2:$C1000, $A$2:$A1000=A440, $B$2:$B1000=B440, $D$2:$D1000&lt;&gt;D440))"),"#N/A")</f>
        <v>#N/A</v>
      </c>
    </row>
    <row r="441" spans="11:15" ht="12.75" x14ac:dyDescent="0.2">
      <c r="K441" s="6"/>
      <c r="L441" s="6"/>
      <c r="O441" s="4" t="str">
        <f ca="1">IFERROR(__xludf.DUMMYFUNCTION("TEXTJOIN("","", TRUE, FILTER($E$2:$E1000 &amp; $C$2:$C1000, $A$2:$A1000=A441, $B$2:$B1000=B441, $D$2:$D1000&lt;&gt;D441))"),"#N/A")</f>
        <v>#N/A</v>
      </c>
    </row>
    <row r="442" spans="11:15" ht="12.75" x14ac:dyDescent="0.2">
      <c r="K442" s="6"/>
      <c r="L442" s="6"/>
      <c r="O442" s="4" t="str">
        <f ca="1">IFERROR(__xludf.DUMMYFUNCTION("TEXTJOIN("","", TRUE, FILTER($E$2:$E1000 &amp; $C$2:$C1000, $A$2:$A1000=A442, $B$2:$B1000=B442, $D$2:$D1000&lt;&gt;D442))"),"#N/A")</f>
        <v>#N/A</v>
      </c>
    </row>
    <row r="443" spans="11:15" ht="12.75" x14ac:dyDescent="0.2">
      <c r="K443" s="6"/>
      <c r="L443" s="6"/>
      <c r="O443" s="4" t="str">
        <f ca="1">IFERROR(__xludf.DUMMYFUNCTION("TEXTJOIN("","", TRUE, FILTER($E$2:$E1000 &amp; $C$2:$C1000, $A$2:$A1000=A443, $B$2:$B1000=B443, $D$2:$D1000&lt;&gt;D443))"),"#N/A")</f>
        <v>#N/A</v>
      </c>
    </row>
    <row r="444" spans="11:15" ht="12.75" x14ac:dyDescent="0.2">
      <c r="K444" s="6"/>
      <c r="L444" s="6"/>
      <c r="O444" s="4" t="str">
        <f ca="1">IFERROR(__xludf.DUMMYFUNCTION("TEXTJOIN("","", TRUE, FILTER($E$2:$E1000 &amp; $C$2:$C1000, $A$2:$A1000=A444, $B$2:$B1000=B444, $D$2:$D1000&lt;&gt;D444))"),"#N/A")</f>
        <v>#N/A</v>
      </c>
    </row>
    <row r="445" spans="11:15" ht="12.75" x14ac:dyDescent="0.2">
      <c r="K445" s="6"/>
      <c r="L445" s="6"/>
      <c r="O445" s="4" t="str">
        <f ca="1">IFERROR(__xludf.DUMMYFUNCTION("TEXTJOIN("","", TRUE, FILTER($E$2:$E1000 &amp; $C$2:$C1000, $A$2:$A1000=A445, $B$2:$B1000=B445, $D$2:$D1000&lt;&gt;D445))"),"#N/A")</f>
        <v>#N/A</v>
      </c>
    </row>
    <row r="446" spans="11:15" ht="12.75" x14ac:dyDescent="0.2">
      <c r="K446" s="6"/>
      <c r="L446" s="6"/>
      <c r="O446" s="4" t="str">
        <f ca="1">IFERROR(__xludf.DUMMYFUNCTION("TEXTJOIN("","", TRUE, FILTER($E$2:$E1000 &amp; $C$2:$C1000, $A$2:$A1000=A446, $B$2:$B1000=B446, $D$2:$D1000&lt;&gt;D446))"),"#N/A")</f>
        <v>#N/A</v>
      </c>
    </row>
    <row r="447" spans="11:15" ht="12.75" x14ac:dyDescent="0.2">
      <c r="K447" s="6"/>
      <c r="L447" s="6"/>
      <c r="O447" s="4" t="str">
        <f ca="1">IFERROR(__xludf.DUMMYFUNCTION("TEXTJOIN("","", TRUE, FILTER($E$2:$E1000 &amp; $C$2:$C1000, $A$2:$A1000=A447, $B$2:$B1000=B447, $D$2:$D1000&lt;&gt;D447))"),"#N/A")</f>
        <v>#N/A</v>
      </c>
    </row>
    <row r="448" spans="11:15" ht="12.75" x14ac:dyDescent="0.2">
      <c r="K448" s="6"/>
      <c r="L448" s="6"/>
      <c r="O448" s="4" t="str">
        <f ca="1">IFERROR(__xludf.DUMMYFUNCTION("TEXTJOIN("","", TRUE, FILTER($E$2:$E1000 &amp; $C$2:$C1000, $A$2:$A1000=A448, $B$2:$B1000=B448, $D$2:$D1000&lt;&gt;D448))"),"#N/A")</f>
        <v>#N/A</v>
      </c>
    </row>
    <row r="449" spans="11:15" ht="12.75" x14ac:dyDescent="0.2">
      <c r="K449" s="6"/>
      <c r="L449" s="6"/>
      <c r="O449" s="4" t="str">
        <f ca="1">IFERROR(__xludf.DUMMYFUNCTION("TEXTJOIN("","", TRUE, FILTER($E$2:$E1000 &amp; $C$2:$C1000, $A$2:$A1000=A449, $B$2:$B1000=B449, $D$2:$D1000&lt;&gt;D449))"),"#N/A")</f>
        <v>#N/A</v>
      </c>
    </row>
    <row r="450" spans="11:15" ht="12.75" x14ac:dyDescent="0.2">
      <c r="K450" s="6"/>
      <c r="L450" s="6"/>
      <c r="O450" s="4" t="str">
        <f ca="1">IFERROR(__xludf.DUMMYFUNCTION("TEXTJOIN("","", TRUE, FILTER($E$2:$E1000 &amp; $C$2:$C1000, $A$2:$A1000=A450, $B$2:$B1000=B450, $D$2:$D1000&lt;&gt;D450))"),"#N/A")</f>
        <v>#N/A</v>
      </c>
    </row>
    <row r="451" spans="11:15" ht="12.75" x14ac:dyDescent="0.2">
      <c r="K451" s="6"/>
      <c r="L451" s="6"/>
      <c r="O451" s="4" t="str">
        <f ca="1">IFERROR(__xludf.DUMMYFUNCTION("TEXTJOIN("","", TRUE, FILTER($E$2:$E1000 &amp; $C$2:$C1000, $A$2:$A1000=A451, $B$2:$B1000=B451, $D$2:$D1000&lt;&gt;D451))"),"#N/A")</f>
        <v>#N/A</v>
      </c>
    </row>
    <row r="452" spans="11:15" ht="12.75" x14ac:dyDescent="0.2">
      <c r="K452" s="6"/>
      <c r="L452" s="6"/>
      <c r="O452" s="4" t="str">
        <f ca="1">IFERROR(__xludf.DUMMYFUNCTION("TEXTJOIN("","", TRUE, FILTER($E$2:$E1000 &amp; $C$2:$C1000, $A$2:$A1000=A452, $B$2:$B1000=B452, $D$2:$D1000&lt;&gt;D452))"),"#N/A")</f>
        <v>#N/A</v>
      </c>
    </row>
    <row r="453" spans="11:15" ht="12.75" x14ac:dyDescent="0.2">
      <c r="K453" s="6"/>
      <c r="L453" s="6"/>
      <c r="O453" s="4" t="str">
        <f ca="1">IFERROR(__xludf.DUMMYFUNCTION("TEXTJOIN("","", TRUE, FILTER($E$2:$E1000 &amp; $C$2:$C1000, $A$2:$A1000=A453, $B$2:$B1000=B453, $D$2:$D1000&lt;&gt;D453))"),"#N/A")</f>
        <v>#N/A</v>
      </c>
    </row>
    <row r="454" spans="11:15" ht="12.75" x14ac:dyDescent="0.2">
      <c r="K454" s="6"/>
      <c r="L454" s="6"/>
      <c r="O454" s="4" t="str">
        <f ca="1">IFERROR(__xludf.DUMMYFUNCTION("TEXTJOIN("","", TRUE, FILTER($E$2:$E1000 &amp; $C$2:$C1000, $A$2:$A1000=A454, $B$2:$B1000=B454, $D$2:$D1000&lt;&gt;D454))"),"#N/A")</f>
        <v>#N/A</v>
      </c>
    </row>
    <row r="455" spans="11:15" ht="12.75" x14ac:dyDescent="0.2">
      <c r="K455" s="6"/>
      <c r="L455" s="6"/>
      <c r="O455" s="4" t="str">
        <f ca="1">IFERROR(__xludf.DUMMYFUNCTION("TEXTJOIN("","", TRUE, FILTER($E$2:$E1000 &amp; $C$2:$C1000, $A$2:$A1000=A455, $B$2:$B1000=B455, $D$2:$D1000&lt;&gt;D455))"),"#N/A")</f>
        <v>#N/A</v>
      </c>
    </row>
    <row r="456" spans="11:15" ht="12.75" x14ac:dyDescent="0.2">
      <c r="K456" s="6"/>
      <c r="L456" s="6"/>
      <c r="O456" s="4" t="str">
        <f ca="1">IFERROR(__xludf.DUMMYFUNCTION("TEXTJOIN("","", TRUE, FILTER($E$2:$E1000 &amp; $C$2:$C1000, $A$2:$A1000=A456, $B$2:$B1000=B456, $D$2:$D1000&lt;&gt;D456))"),"#N/A")</f>
        <v>#N/A</v>
      </c>
    </row>
    <row r="457" spans="11:15" ht="12.75" x14ac:dyDescent="0.2">
      <c r="K457" s="6"/>
      <c r="L457" s="6"/>
      <c r="O457" s="4" t="str">
        <f ca="1">IFERROR(__xludf.DUMMYFUNCTION("TEXTJOIN("","", TRUE, FILTER($E$2:$E1000 &amp; $C$2:$C1000, $A$2:$A1000=A457, $B$2:$B1000=B457, $D$2:$D1000&lt;&gt;D457))"),"#N/A")</f>
        <v>#N/A</v>
      </c>
    </row>
    <row r="458" spans="11:15" ht="12.75" x14ac:dyDescent="0.2">
      <c r="K458" s="6"/>
      <c r="L458" s="6"/>
      <c r="O458" s="4" t="str">
        <f ca="1">IFERROR(__xludf.DUMMYFUNCTION("TEXTJOIN("","", TRUE, FILTER($E$2:$E1000 &amp; $C$2:$C1000, $A$2:$A1000=A458, $B$2:$B1000=B458, $D$2:$D1000&lt;&gt;D458))"),"#N/A")</f>
        <v>#N/A</v>
      </c>
    </row>
    <row r="459" spans="11:15" ht="12.75" x14ac:dyDescent="0.2">
      <c r="K459" s="6"/>
      <c r="L459" s="6"/>
      <c r="O459" s="4" t="str">
        <f ca="1">IFERROR(__xludf.DUMMYFUNCTION("TEXTJOIN("","", TRUE, FILTER($E$2:$E1000 &amp; $C$2:$C1000, $A$2:$A1000=A459, $B$2:$B1000=B459, $D$2:$D1000&lt;&gt;D459))"),"#N/A")</f>
        <v>#N/A</v>
      </c>
    </row>
    <row r="460" spans="11:15" ht="12.75" x14ac:dyDescent="0.2">
      <c r="K460" s="6"/>
      <c r="L460" s="6"/>
      <c r="O460" s="4" t="str">
        <f ca="1">IFERROR(__xludf.DUMMYFUNCTION("TEXTJOIN("","", TRUE, FILTER($E$2:$E1000 &amp; $C$2:$C1000, $A$2:$A1000=A460, $B$2:$B1000=B460, $D$2:$D1000&lt;&gt;D460))"),"#N/A")</f>
        <v>#N/A</v>
      </c>
    </row>
    <row r="461" spans="11:15" ht="12.75" x14ac:dyDescent="0.2">
      <c r="K461" s="6"/>
      <c r="L461" s="6"/>
      <c r="O461" s="4" t="str">
        <f ca="1">IFERROR(__xludf.DUMMYFUNCTION("TEXTJOIN("","", TRUE, FILTER($E$2:$E1000 &amp; $C$2:$C1000, $A$2:$A1000=A461, $B$2:$B1000=B461, $D$2:$D1000&lt;&gt;D461))"),"#N/A")</f>
        <v>#N/A</v>
      </c>
    </row>
    <row r="462" spans="11:15" ht="12.75" x14ac:dyDescent="0.2">
      <c r="K462" s="6"/>
      <c r="L462" s="6"/>
      <c r="O462" s="4" t="str">
        <f ca="1">IFERROR(__xludf.DUMMYFUNCTION("TEXTJOIN("","", TRUE, FILTER($E$2:$E1000 &amp; $C$2:$C1000, $A$2:$A1000=A462, $B$2:$B1000=B462, $D$2:$D1000&lt;&gt;D462))"),"#N/A")</f>
        <v>#N/A</v>
      </c>
    </row>
    <row r="463" spans="11:15" ht="12.75" x14ac:dyDescent="0.2">
      <c r="K463" s="6"/>
      <c r="L463" s="6"/>
      <c r="O463" s="4" t="str">
        <f ca="1">IFERROR(__xludf.DUMMYFUNCTION("TEXTJOIN("","", TRUE, FILTER($E$2:$E1000 &amp; $C$2:$C1000, $A$2:$A1000=A463, $B$2:$B1000=B463, $D$2:$D1000&lt;&gt;D463))"),"#N/A")</f>
        <v>#N/A</v>
      </c>
    </row>
    <row r="464" spans="11:15" ht="12.75" x14ac:dyDescent="0.2">
      <c r="K464" s="6"/>
      <c r="L464" s="6"/>
      <c r="O464" s="4" t="str">
        <f ca="1">IFERROR(__xludf.DUMMYFUNCTION("TEXTJOIN("","", TRUE, FILTER($E$2:$E1000 &amp; $C$2:$C1000, $A$2:$A1000=A464, $B$2:$B1000=B464, $D$2:$D1000&lt;&gt;D464))"),"#N/A")</f>
        <v>#N/A</v>
      </c>
    </row>
    <row r="465" spans="11:15" ht="12.75" x14ac:dyDescent="0.2">
      <c r="K465" s="6"/>
      <c r="L465" s="6"/>
      <c r="O465" s="4" t="str">
        <f ca="1">IFERROR(__xludf.DUMMYFUNCTION("TEXTJOIN("","", TRUE, FILTER($E$2:$E1000 &amp; $C$2:$C1000, $A$2:$A1000=A465, $B$2:$B1000=B465, $D$2:$D1000&lt;&gt;D465))"),"#N/A")</f>
        <v>#N/A</v>
      </c>
    </row>
    <row r="466" spans="11:15" ht="12.75" x14ac:dyDescent="0.2">
      <c r="K466" s="6"/>
      <c r="L466" s="6"/>
      <c r="O466" s="4" t="str">
        <f ca="1">IFERROR(__xludf.DUMMYFUNCTION("TEXTJOIN("","", TRUE, FILTER($E$2:$E1000 &amp; $C$2:$C1000, $A$2:$A1000=A466, $B$2:$B1000=B466, $D$2:$D1000&lt;&gt;D466))"),"#N/A")</f>
        <v>#N/A</v>
      </c>
    </row>
    <row r="467" spans="11:15" ht="12.75" x14ac:dyDescent="0.2">
      <c r="K467" s="6"/>
      <c r="L467" s="6"/>
      <c r="O467" s="4" t="str">
        <f ca="1">IFERROR(__xludf.DUMMYFUNCTION("TEXTJOIN("","", TRUE, FILTER($E$2:$E1000 &amp; $C$2:$C1000, $A$2:$A1000=A467, $B$2:$B1000=B467, $D$2:$D1000&lt;&gt;D467))"),"#N/A")</f>
        <v>#N/A</v>
      </c>
    </row>
    <row r="468" spans="11:15" ht="12.75" x14ac:dyDescent="0.2">
      <c r="K468" s="6"/>
      <c r="L468" s="6"/>
      <c r="O468" s="4" t="str">
        <f ca="1">IFERROR(__xludf.DUMMYFUNCTION("TEXTJOIN("","", TRUE, FILTER($E$2:$E1000 &amp; $C$2:$C1000, $A$2:$A1000=A468, $B$2:$B1000=B468, $D$2:$D1000&lt;&gt;D468))"),"#N/A")</f>
        <v>#N/A</v>
      </c>
    </row>
    <row r="469" spans="11:15" ht="12.75" x14ac:dyDescent="0.2">
      <c r="K469" s="6"/>
      <c r="L469" s="6"/>
      <c r="O469" s="4" t="str">
        <f ca="1">IFERROR(__xludf.DUMMYFUNCTION("TEXTJOIN("","", TRUE, FILTER($E$2:$E1000 &amp; $C$2:$C1000, $A$2:$A1000=A469, $B$2:$B1000=B469, $D$2:$D1000&lt;&gt;D469))"),"#N/A")</f>
        <v>#N/A</v>
      </c>
    </row>
    <row r="470" spans="11:15" ht="12.75" x14ac:dyDescent="0.2">
      <c r="K470" s="6"/>
      <c r="L470" s="6"/>
      <c r="O470" s="4" t="str">
        <f ca="1">IFERROR(__xludf.DUMMYFUNCTION("TEXTJOIN("","", TRUE, FILTER($E$2:$E1000 &amp; $C$2:$C1000, $A$2:$A1000=A470, $B$2:$B1000=B470, $D$2:$D1000&lt;&gt;D470))"),"#N/A")</f>
        <v>#N/A</v>
      </c>
    </row>
    <row r="471" spans="11:15" ht="12.75" x14ac:dyDescent="0.2">
      <c r="K471" s="6"/>
      <c r="L471" s="6"/>
      <c r="O471" s="4" t="str">
        <f ca="1">IFERROR(__xludf.DUMMYFUNCTION("TEXTJOIN("","", TRUE, FILTER($E$2:$E1000 &amp; $C$2:$C1000, $A$2:$A1000=A471, $B$2:$B1000=B471, $D$2:$D1000&lt;&gt;D471))"),"#N/A")</f>
        <v>#N/A</v>
      </c>
    </row>
    <row r="472" spans="11:15" ht="12.75" x14ac:dyDescent="0.2">
      <c r="K472" s="6"/>
      <c r="L472" s="6"/>
      <c r="O472" s="4" t="str">
        <f ca="1">IFERROR(__xludf.DUMMYFUNCTION("TEXTJOIN("","", TRUE, FILTER($E$2:$E1000 &amp; $C$2:$C1000, $A$2:$A1000=A472, $B$2:$B1000=B472, $D$2:$D1000&lt;&gt;D472))"),"#N/A")</f>
        <v>#N/A</v>
      </c>
    </row>
    <row r="473" spans="11:15" ht="12.75" x14ac:dyDescent="0.2">
      <c r="K473" s="6"/>
      <c r="L473" s="6"/>
      <c r="O473" s="4" t="str">
        <f ca="1">IFERROR(__xludf.DUMMYFUNCTION("TEXTJOIN("","", TRUE, FILTER($E$2:$E1000 &amp; $C$2:$C1000, $A$2:$A1000=A473, $B$2:$B1000=B473, $D$2:$D1000&lt;&gt;D473))"),"#N/A")</f>
        <v>#N/A</v>
      </c>
    </row>
    <row r="474" spans="11:15" ht="12.75" x14ac:dyDescent="0.2">
      <c r="K474" s="6"/>
      <c r="L474" s="6"/>
      <c r="O474" s="4" t="str">
        <f ca="1">IFERROR(__xludf.DUMMYFUNCTION("TEXTJOIN("","", TRUE, FILTER($E$2:$E1000 &amp; $C$2:$C1000, $A$2:$A1000=A474, $B$2:$B1000=B474, $D$2:$D1000&lt;&gt;D474))"),"#N/A")</f>
        <v>#N/A</v>
      </c>
    </row>
    <row r="475" spans="11:15" ht="12.75" x14ac:dyDescent="0.2">
      <c r="K475" s="6"/>
      <c r="L475" s="6"/>
      <c r="O475" s="4" t="str">
        <f ca="1">IFERROR(__xludf.DUMMYFUNCTION("TEXTJOIN("","", TRUE, FILTER($E$2:$E1000 &amp; $C$2:$C1000, $A$2:$A1000=A475, $B$2:$B1000=B475, $D$2:$D1000&lt;&gt;D475))"),"#N/A")</f>
        <v>#N/A</v>
      </c>
    </row>
    <row r="476" spans="11:15" ht="12.75" x14ac:dyDescent="0.2">
      <c r="K476" s="6"/>
      <c r="L476" s="6"/>
      <c r="O476" s="4" t="str">
        <f ca="1">IFERROR(__xludf.DUMMYFUNCTION("TEXTJOIN("","", TRUE, FILTER($E$2:$E1000 &amp; $C$2:$C1000, $A$2:$A1000=A476, $B$2:$B1000=B476, $D$2:$D1000&lt;&gt;D476))"),"#N/A")</f>
        <v>#N/A</v>
      </c>
    </row>
    <row r="477" spans="11:15" ht="12.75" x14ac:dyDescent="0.2">
      <c r="K477" s="6"/>
      <c r="L477" s="6"/>
      <c r="O477" s="4" t="str">
        <f ca="1">IFERROR(__xludf.DUMMYFUNCTION("TEXTJOIN("","", TRUE, FILTER($E$2:$E1000 &amp; $C$2:$C1000, $A$2:$A1000=A477, $B$2:$B1000=B477, $D$2:$D1000&lt;&gt;D477))"),"#N/A")</f>
        <v>#N/A</v>
      </c>
    </row>
    <row r="478" spans="11:15" ht="12.75" x14ac:dyDescent="0.2">
      <c r="K478" s="6"/>
      <c r="L478" s="6"/>
      <c r="O478" s="4" t="str">
        <f ca="1">IFERROR(__xludf.DUMMYFUNCTION("TEXTJOIN("","", TRUE, FILTER($E$2:$E1000 &amp; $C$2:$C1000, $A$2:$A1000=A478, $B$2:$B1000=B478, $D$2:$D1000&lt;&gt;D478))"),"#N/A")</f>
        <v>#N/A</v>
      </c>
    </row>
    <row r="479" spans="11:15" ht="12.75" x14ac:dyDescent="0.2">
      <c r="K479" s="6"/>
      <c r="L479" s="6"/>
      <c r="O479" s="4" t="str">
        <f ca="1">IFERROR(__xludf.DUMMYFUNCTION("TEXTJOIN("","", TRUE, FILTER($E$2:$E1000 &amp; $C$2:$C1000, $A$2:$A1000=A479, $B$2:$B1000=B479, $D$2:$D1000&lt;&gt;D479))"),"#N/A")</f>
        <v>#N/A</v>
      </c>
    </row>
    <row r="480" spans="11:15" ht="12.75" x14ac:dyDescent="0.2">
      <c r="K480" s="6"/>
      <c r="L480" s="6"/>
      <c r="O480" s="4" t="str">
        <f ca="1">IFERROR(__xludf.DUMMYFUNCTION("TEXTJOIN("","", TRUE, FILTER($E$2:$E1000 &amp; $C$2:$C1000, $A$2:$A1000=A480, $B$2:$B1000=B480, $D$2:$D1000&lt;&gt;D480))"),"#N/A")</f>
        <v>#N/A</v>
      </c>
    </row>
    <row r="481" spans="11:15" ht="12.75" x14ac:dyDescent="0.2">
      <c r="K481" s="6"/>
      <c r="L481" s="6"/>
      <c r="O481" s="4" t="str">
        <f ca="1">IFERROR(__xludf.DUMMYFUNCTION("TEXTJOIN("","", TRUE, FILTER($E$2:$E1000 &amp; $C$2:$C1000, $A$2:$A1000=A481, $B$2:$B1000=B481, $D$2:$D1000&lt;&gt;D481))"),"#N/A")</f>
        <v>#N/A</v>
      </c>
    </row>
    <row r="482" spans="11:15" ht="12.75" x14ac:dyDescent="0.2">
      <c r="K482" s="6"/>
      <c r="L482" s="6"/>
      <c r="O482" s="4" t="str">
        <f ca="1">IFERROR(__xludf.DUMMYFUNCTION("TEXTJOIN("","", TRUE, FILTER($E$2:$E1000 &amp; $C$2:$C1000, $A$2:$A1000=A482, $B$2:$B1000=B482, $D$2:$D1000&lt;&gt;D482))"),"#N/A")</f>
        <v>#N/A</v>
      </c>
    </row>
    <row r="483" spans="11:15" ht="12.75" x14ac:dyDescent="0.2">
      <c r="K483" s="6"/>
      <c r="L483" s="6"/>
      <c r="O483" s="4" t="str">
        <f ca="1">IFERROR(__xludf.DUMMYFUNCTION("TEXTJOIN("","", TRUE, FILTER($E$2:$E1000 &amp; $C$2:$C1000, $A$2:$A1000=A483, $B$2:$B1000=B483, $D$2:$D1000&lt;&gt;D483))"),"#N/A")</f>
        <v>#N/A</v>
      </c>
    </row>
    <row r="484" spans="11:15" ht="12.75" x14ac:dyDescent="0.2">
      <c r="K484" s="6"/>
      <c r="L484" s="6"/>
      <c r="O484" s="4" t="str">
        <f ca="1">IFERROR(__xludf.DUMMYFUNCTION("TEXTJOIN("","", TRUE, FILTER($E$2:$E1000 &amp; $C$2:$C1000, $A$2:$A1000=A484, $B$2:$B1000=B484, $D$2:$D1000&lt;&gt;D484))"),"#N/A")</f>
        <v>#N/A</v>
      </c>
    </row>
    <row r="485" spans="11:15" ht="12.75" x14ac:dyDescent="0.2">
      <c r="K485" s="6"/>
      <c r="L485" s="6"/>
      <c r="O485" s="4" t="str">
        <f ca="1">IFERROR(__xludf.DUMMYFUNCTION("TEXTJOIN("","", TRUE, FILTER($E$2:$E1000 &amp; $C$2:$C1000, $A$2:$A1000=A485, $B$2:$B1000=B485, $D$2:$D1000&lt;&gt;D485))"),"#N/A")</f>
        <v>#N/A</v>
      </c>
    </row>
    <row r="486" spans="11:15" ht="12.75" x14ac:dyDescent="0.2">
      <c r="K486" s="6"/>
      <c r="L486" s="6"/>
      <c r="O486" s="4" t="str">
        <f ca="1">IFERROR(__xludf.DUMMYFUNCTION("TEXTJOIN("","", TRUE, FILTER($E$2:$E1000 &amp; $C$2:$C1000, $A$2:$A1000=A486, $B$2:$B1000=B486, $D$2:$D1000&lt;&gt;D486))"),"#N/A")</f>
        <v>#N/A</v>
      </c>
    </row>
    <row r="487" spans="11:15" ht="12.75" x14ac:dyDescent="0.2">
      <c r="K487" s="6"/>
      <c r="L487" s="6"/>
      <c r="O487" s="4" t="str">
        <f ca="1">IFERROR(__xludf.DUMMYFUNCTION("TEXTJOIN("","", TRUE, FILTER($E$2:$E1000 &amp; $C$2:$C1000, $A$2:$A1000=A487, $B$2:$B1000=B487, $D$2:$D1000&lt;&gt;D487))"),"#N/A")</f>
        <v>#N/A</v>
      </c>
    </row>
    <row r="488" spans="11:15" ht="12.75" x14ac:dyDescent="0.2">
      <c r="K488" s="6"/>
      <c r="L488" s="6"/>
      <c r="O488" s="4" t="str">
        <f ca="1">IFERROR(__xludf.DUMMYFUNCTION("TEXTJOIN("","", TRUE, FILTER($E$2:$E1000 &amp; $C$2:$C1000, $A$2:$A1000=A488, $B$2:$B1000=B488, $D$2:$D1000&lt;&gt;D488))"),"#N/A")</f>
        <v>#N/A</v>
      </c>
    </row>
    <row r="489" spans="11:15" ht="12.75" x14ac:dyDescent="0.2">
      <c r="K489" s="6"/>
      <c r="L489" s="6"/>
      <c r="O489" s="4" t="str">
        <f ca="1">IFERROR(__xludf.DUMMYFUNCTION("TEXTJOIN("","", TRUE, FILTER($E$2:$E1000 &amp; $C$2:$C1000, $A$2:$A1000=A489, $B$2:$B1000=B489, $D$2:$D1000&lt;&gt;D489))"),"#N/A")</f>
        <v>#N/A</v>
      </c>
    </row>
    <row r="490" spans="11:15" ht="12.75" x14ac:dyDescent="0.2">
      <c r="K490" s="6"/>
      <c r="L490" s="6"/>
      <c r="O490" s="4" t="str">
        <f ca="1">IFERROR(__xludf.DUMMYFUNCTION("TEXTJOIN("","", TRUE, FILTER($E$2:$E1000 &amp; $C$2:$C1000, $A$2:$A1000=A490, $B$2:$B1000=B490, $D$2:$D1000&lt;&gt;D490))"),"#N/A")</f>
        <v>#N/A</v>
      </c>
    </row>
    <row r="491" spans="11:15" ht="12.75" x14ac:dyDescent="0.2">
      <c r="K491" s="6"/>
      <c r="L491" s="6"/>
      <c r="O491" s="4" t="str">
        <f ca="1">IFERROR(__xludf.DUMMYFUNCTION("TEXTJOIN("","", TRUE, FILTER($E$2:$E1000 &amp; $C$2:$C1000, $A$2:$A1000=A491, $B$2:$B1000=B491, $D$2:$D1000&lt;&gt;D491))"),"#N/A")</f>
        <v>#N/A</v>
      </c>
    </row>
    <row r="492" spans="11:15" ht="12.75" x14ac:dyDescent="0.2">
      <c r="K492" s="6"/>
      <c r="L492" s="6"/>
      <c r="O492" s="4" t="str">
        <f ca="1">IFERROR(__xludf.DUMMYFUNCTION("TEXTJOIN("","", TRUE, FILTER($E$2:$E1000 &amp; $C$2:$C1000, $A$2:$A1000=A492, $B$2:$B1000=B492, $D$2:$D1000&lt;&gt;D492))"),"#N/A")</f>
        <v>#N/A</v>
      </c>
    </row>
    <row r="493" spans="11:15" ht="12.75" x14ac:dyDescent="0.2">
      <c r="K493" s="6"/>
      <c r="L493" s="6"/>
      <c r="O493" s="4" t="str">
        <f ca="1">IFERROR(__xludf.DUMMYFUNCTION("TEXTJOIN("","", TRUE, FILTER($E$2:$E1000 &amp; $C$2:$C1000, $A$2:$A1000=A493, $B$2:$B1000=B493, $D$2:$D1000&lt;&gt;D493))"),"#N/A")</f>
        <v>#N/A</v>
      </c>
    </row>
    <row r="494" spans="11:15" ht="12.75" x14ac:dyDescent="0.2">
      <c r="K494" s="6"/>
      <c r="L494" s="6"/>
      <c r="O494" s="4" t="str">
        <f ca="1">IFERROR(__xludf.DUMMYFUNCTION("TEXTJOIN("","", TRUE, FILTER($E$2:$E1000 &amp; $C$2:$C1000, $A$2:$A1000=A494, $B$2:$B1000=B494, $D$2:$D1000&lt;&gt;D494))"),"#N/A")</f>
        <v>#N/A</v>
      </c>
    </row>
    <row r="495" spans="11:15" ht="12.75" x14ac:dyDescent="0.2">
      <c r="K495" s="6"/>
      <c r="L495" s="6"/>
      <c r="O495" s="4" t="str">
        <f ca="1">IFERROR(__xludf.DUMMYFUNCTION("TEXTJOIN("","", TRUE, FILTER($E$2:$E1000 &amp; $C$2:$C1000, $A$2:$A1000=A495, $B$2:$B1000=B495, $D$2:$D1000&lt;&gt;D495))"),"#N/A")</f>
        <v>#N/A</v>
      </c>
    </row>
    <row r="496" spans="11:15" ht="12.75" x14ac:dyDescent="0.2">
      <c r="K496" s="6"/>
      <c r="L496" s="6"/>
      <c r="O496" s="4" t="str">
        <f ca="1">IFERROR(__xludf.DUMMYFUNCTION("TEXTJOIN("","", TRUE, FILTER($E$2:$E1000 &amp; $C$2:$C1000, $A$2:$A1000=A496, $B$2:$B1000=B496, $D$2:$D1000&lt;&gt;D496))"),"#N/A")</f>
        <v>#N/A</v>
      </c>
    </row>
    <row r="497" spans="11:15" ht="12.75" x14ac:dyDescent="0.2">
      <c r="K497" s="6"/>
      <c r="L497" s="6"/>
      <c r="O497" s="4" t="str">
        <f ca="1">IFERROR(__xludf.DUMMYFUNCTION("TEXTJOIN("","", TRUE, FILTER($E$2:$E1000 &amp; $C$2:$C1000, $A$2:$A1000=A497, $B$2:$B1000=B497, $D$2:$D1000&lt;&gt;D497))"),"#N/A")</f>
        <v>#N/A</v>
      </c>
    </row>
    <row r="498" spans="11:15" ht="12.75" x14ac:dyDescent="0.2">
      <c r="K498" s="6"/>
      <c r="L498" s="6"/>
      <c r="O498" s="4" t="str">
        <f ca="1">IFERROR(__xludf.DUMMYFUNCTION("TEXTJOIN("","", TRUE, FILTER($E$2:$E1000 &amp; $C$2:$C1000, $A$2:$A1000=A498, $B$2:$B1000=B498, $D$2:$D1000&lt;&gt;D498))"),"#N/A")</f>
        <v>#N/A</v>
      </c>
    </row>
    <row r="499" spans="11:15" ht="12.75" x14ac:dyDescent="0.2">
      <c r="K499" s="6"/>
      <c r="L499" s="6"/>
      <c r="O499" s="4" t="str">
        <f ca="1">IFERROR(__xludf.DUMMYFUNCTION("TEXTJOIN("","", TRUE, FILTER($E$2:$E1000 &amp; $C$2:$C1000, $A$2:$A1000=A499, $B$2:$B1000=B499, $D$2:$D1000&lt;&gt;D499))"),"#N/A")</f>
        <v>#N/A</v>
      </c>
    </row>
    <row r="500" spans="11:15" ht="12.75" x14ac:dyDescent="0.2">
      <c r="K500" s="6"/>
      <c r="L500" s="6"/>
      <c r="O500" s="4" t="str">
        <f ca="1">IFERROR(__xludf.DUMMYFUNCTION("TEXTJOIN("","", TRUE, FILTER($E$2:$E1000 &amp; $C$2:$C1000, $A$2:$A1000=A500, $B$2:$B1000=B500, $D$2:$D1000&lt;&gt;D500))"),"#N/A")</f>
        <v>#N/A</v>
      </c>
    </row>
    <row r="501" spans="11:15" ht="12.75" x14ac:dyDescent="0.2">
      <c r="K501" s="6"/>
      <c r="L501" s="6"/>
      <c r="O501" s="4" t="str">
        <f ca="1">IFERROR(__xludf.DUMMYFUNCTION("TEXTJOIN("","", TRUE, FILTER($E$2:$E1000 &amp; $C$2:$C1000, $A$2:$A1000=A501, $B$2:$B1000=B501, $D$2:$D1000&lt;&gt;D501))"),"#N/A")</f>
        <v>#N/A</v>
      </c>
    </row>
    <row r="502" spans="11:15" ht="12.75" x14ac:dyDescent="0.2">
      <c r="K502" s="6"/>
      <c r="L502" s="6"/>
      <c r="O502" s="4" t="str">
        <f ca="1">IFERROR(__xludf.DUMMYFUNCTION("TEXTJOIN("","", TRUE, FILTER($E$2:$E1000 &amp; $C$2:$C1000, $A$2:$A1000=A502, $B$2:$B1000=B502, $D$2:$D1000&lt;&gt;D502))"),"#N/A")</f>
        <v>#N/A</v>
      </c>
    </row>
    <row r="503" spans="11:15" ht="12.75" x14ac:dyDescent="0.2">
      <c r="K503" s="6"/>
      <c r="L503" s="6"/>
      <c r="O503" s="4" t="str">
        <f ca="1">IFERROR(__xludf.DUMMYFUNCTION("TEXTJOIN("","", TRUE, FILTER($E$2:$E1000 &amp; $C$2:$C1000, $A$2:$A1000=A503, $B$2:$B1000=B503, $D$2:$D1000&lt;&gt;D503))"),"#N/A")</f>
        <v>#N/A</v>
      </c>
    </row>
    <row r="504" spans="11:15" ht="12.75" x14ac:dyDescent="0.2">
      <c r="K504" s="6"/>
      <c r="L504" s="6"/>
      <c r="O504" s="4" t="str">
        <f ca="1">IFERROR(__xludf.DUMMYFUNCTION("TEXTJOIN("","", TRUE, FILTER($E$2:$E1000 &amp; $C$2:$C1000, $A$2:$A1000=A504, $B$2:$B1000=B504, $D$2:$D1000&lt;&gt;D504))"),"#N/A")</f>
        <v>#N/A</v>
      </c>
    </row>
    <row r="505" spans="11:15" ht="12.75" x14ac:dyDescent="0.2">
      <c r="K505" s="6"/>
      <c r="L505" s="6"/>
      <c r="O505" s="4" t="str">
        <f ca="1">IFERROR(__xludf.DUMMYFUNCTION("TEXTJOIN("","", TRUE, FILTER($E$2:$E1000 &amp; $C$2:$C1000, $A$2:$A1000=A505, $B$2:$B1000=B505, $D$2:$D1000&lt;&gt;D505))"),"#N/A")</f>
        <v>#N/A</v>
      </c>
    </row>
    <row r="506" spans="11:15" ht="12.75" x14ac:dyDescent="0.2">
      <c r="K506" s="6"/>
      <c r="L506" s="6"/>
      <c r="O506" s="4" t="str">
        <f ca="1">IFERROR(__xludf.DUMMYFUNCTION("TEXTJOIN("","", TRUE, FILTER($E$2:$E1000 &amp; $C$2:$C1000, $A$2:$A1000=A506, $B$2:$B1000=B506, $D$2:$D1000&lt;&gt;D506))"),"#N/A")</f>
        <v>#N/A</v>
      </c>
    </row>
    <row r="507" spans="11:15" ht="12.75" x14ac:dyDescent="0.2">
      <c r="K507" s="6"/>
      <c r="L507" s="6"/>
      <c r="O507" s="4" t="str">
        <f ca="1">IFERROR(__xludf.DUMMYFUNCTION("TEXTJOIN("","", TRUE, FILTER($E$2:$E1000 &amp; $C$2:$C1000, $A$2:$A1000=A507, $B$2:$B1000=B507, $D$2:$D1000&lt;&gt;D507))"),"#N/A")</f>
        <v>#N/A</v>
      </c>
    </row>
    <row r="508" spans="11:15" ht="12.75" x14ac:dyDescent="0.2">
      <c r="K508" s="6"/>
      <c r="L508" s="6"/>
      <c r="O508" s="4" t="str">
        <f ca="1">IFERROR(__xludf.DUMMYFUNCTION("TEXTJOIN("","", TRUE, FILTER($E$2:$E1000 &amp; $C$2:$C1000, $A$2:$A1000=A508, $B$2:$B1000=B508, $D$2:$D1000&lt;&gt;D508))"),"#N/A")</f>
        <v>#N/A</v>
      </c>
    </row>
    <row r="509" spans="11:15" ht="12.75" x14ac:dyDescent="0.2">
      <c r="K509" s="6"/>
      <c r="L509" s="6"/>
      <c r="O509" s="4" t="str">
        <f ca="1">IFERROR(__xludf.DUMMYFUNCTION("TEXTJOIN("","", TRUE, FILTER($E$2:$E1000 &amp; $C$2:$C1000, $A$2:$A1000=A509, $B$2:$B1000=B509, $D$2:$D1000&lt;&gt;D509))"),"#N/A")</f>
        <v>#N/A</v>
      </c>
    </row>
    <row r="510" spans="11:15" ht="12.75" x14ac:dyDescent="0.2">
      <c r="K510" s="6"/>
      <c r="L510" s="6"/>
      <c r="O510" s="4" t="str">
        <f ca="1">IFERROR(__xludf.DUMMYFUNCTION("TEXTJOIN("","", TRUE, FILTER($E$2:$E1000 &amp; $C$2:$C1000, $A$2:$A1000=A510, $B$2:$B1000=B510, $D$2:$D1000&lt;&gt;D510))"),"#N/A")</f>
        <v>#N/A</v>
      </c>
    </row>
    <row r="511" spans="11:15" ht="12.75" x14ac:dyDescent="0.2">
      <c r="K511" s="6"/>
      <c r="L511" s="6"/>
      <c r="O511" s="4" t="str">
        <f ca="1">IFERROR(__xludf.DUMMYFUNCTION("TEXTJOIN("","", TRUE, FILTER($E$2:$E1000 &amp; $C$2:$C1000, $A$2:$A1000=A511, $B$2:$B1000=B511, $D$2:$D1000&lt;&gt;D511))"),"#N/A")</f>
        <v>#N/A</v>
      </c>
    </row>
    <row r="512" spans="11:15" ht="12.75" x14ac:dyDescent="0.2">
      <c r="K512" s="6"/>
      <c r="L512" s="6"/>
      <c r="O512" s="4" t="str">
        <f ca="1">IFERROR(__xludf.DUMMYFUNCTION("TEXTJOIN("","", TRUE, FILTER($E$2:$E1000 &amp; $C$2:$C1000, $A$2:$A1000=A512, $B$2:$B1000=B512, $D$2:$D1000&lt;&gt;D512))"),"#N/A")</f>
        <v>#N/A</v>
      </c>
    </row>
    <row r="513" spans="11:15" ht="12.75" x14ac:dyDescent="0.2">
      <c r="K513" s="6"/>
      <c r="L513" s="6"/>
      <c r="O513" s="4" t="str">
        <f ca="1">IFERROR(__xludf.DUMMYFUNCTION("TEXTJOIN("","", TRUE, FILTER($E$2:$E1000 &amp; $C$2:$C1000, $A$2:$A1000=A513, $B$2:$B1000=B513, $D$2:$D1000&lt;&gt;D513))"),"#N/A")</f>
        <v>#N/A</v>
      </c>
    </row>
    <row r="514" spans="11:15" ht="12.75" x14ac:dyDescent="0.2">
      <c r="K514" s="6"/>
      <c r="L514" s="6"/>
      <c r="O514" s="4" t="str">
        <f ca="1">IFERROR(__xludf.DUMMYFUNCTION("TEXTJOIN("","", TRUE, FILTER($E$2:$E1000 &amp; $C$2:$C1000, $A$2:$A1000=A514, $B$2:$B1000=B514, $D$2:$D1000&lt;&gt;D514))"),"#N/A")</f>
        <v>#N/A</v>
      </c>
    </row>
    <row r="515" spans="11:15" ht="12.75" x14ac:dyDescent="0.2">
      <c r="K515" s="6"/>
      <c r="L515" s="6"/>
      <c r="O515" s="4" t="str">
        <f ca="1">IFERROR(__xludf.DUMMYFUNCTION("TEXTJOIN("","", TRUE, FILTER($E$2:$E1000 &amp; $C$2:$C1000, $A$2:$A1000=A515, $B$2:$B1000=B515, $D$2:$D1000&lt;&gt;D515))"),"#N/A")</f>
        <v>#N/A</v>
      </c>
    </row>
    <row r="516" spans="11:15" ht="12.75" x14ac:dyDescent="0.2">
      <c r="K516" s="6"/>
      <c r="L516" s="6"/>
      <c r="O516" s="4" t="str">
        <f ca="1">IFERROR(__xludf.DUMMYFUNCTION("TEXTJOIN("","", TRUE, FILTER($E$2:$E1000 &amp; $C$2:$C1000, $A$2:$A1000=A516, $B$2:$B1000=B516, $D$2:$D1000&lt;&gt;D516))"),"#N/A")</f>
        <v>#N/A</v>
      </c>
    </row>
    <row r="517" spans="11:15" ht="12.75" x14ac:dyDescent="0.2">
      <c r="K517" s="6"/>
      <c r="L517" s="6"/>
      <c r="O517" s="4" t="str">
        <f ca="1">IFERROR(__xludf.DUMMYFUNCTION("TEXTJOIN("","", TRUE, FILTER($E$2:$E1000 &amp; $C$2:$C1000, $A$2:$A1000=A517, $B$2:$B1000=B517, $D$2:$D1000&lt;&gt;D517))"),"#N/A")</f>
        <v>#N/A</v>
      </c>
    </row>
    <row r="518" spans="11:15" ht="12.75" x14ac:dyDescent="0.2">
      <c r="K518" s="6"/>
      <c r="L518" s="6"/>
      <c r="O518" s="4" t="str">
        <f ca="1">IFERROR(__xludf.DUMMYFUNCTION("TEXTJOIN("","", TRUE, FILTER($E$2:$E1000 &amp; $C$2:$C1000, $A$2:$A1000=A518, $B$2:$B1000=B518, $D$2:$D1000&lt;&gt;D518))"),"#N/A")</f>
        <v>#N/A</v>
      </c>
    </row>
    <row r="519" spans="11:15" ht="12.75" x14ac:dyDescent="0.2">
      <c r="K519" s="6"/>
      <c r="L519" s="6"/>
      <c r="O519" s="4" t="str">
        <f ca="1">IFERROR(__xludf.DUMMYFUNCTION("TEXTJOIN("","", TRUE, FILTER($E$2:$E1000 &amp; $C$2:$C1000, $A$2:$A1000=A519, $B$2:$B1000=B519, $D$2:$D1000&lt;&gt;D519))"),"#N/A")</f>
        <v>#N/A</v>
      </c>
    </row>
    <row r="520" spans="11:15" ht="12.75" x14ac:dyDescent="0.2">
      <c r="K520" s="6"/>
      <c r="L520" s="6"/>
      <c r="O520" s="4" t="str">
        <f ca="1">IFERROR(__xludf.DUMMYFUNCTION("TEXTJOIN("","", TRUE, FILTER($E$2:$E1000 &amp; $C$2:$C1000, $A$2:$A1000=A520, $B$2:$B1000=B520, $D$2:$D1000&lt;&gt;D520))"),"#N/A")</f>
        <v>#N/A</v>
      </c>
    </row>
    <row r="521" spans="11:15" ht="12.75" x14ac:dyDescent="0.2">
      <c r="K521" s="6"/>
      <c r="L521" s="6"/>
      <c r="O521" s="4" t="str">
        <f ca="1">IFERROR(__xludf.DUMMYFUNCTION("TEXTJOIN("","", TRUE, FILTER($E$2:$E1000 &amp; $C$2:$C1000, $A$2:$A1000=A521, $B$2:$B1000=B521, $D$2:$D1000&lt;&gt;D521))"),"#N/A")</f>
        <v>#N/A</v>
      </c>
    </row>
    <row r="522" spans="11:15" ht="12.75" x14ac:dyDescent="0.2">
      <c r="K522" s="6"/>
      <c r="L522" s="6"/>
      <c r="O522" s="4" t="str">
        <f ca="1">IFERROR(__xludf.DUMMYFUNCTION("TEXTJOIN("","", TRUE, FILTER($E$2:$E1000 &amp; $C$2:$C1000, $A$2:$A1000=A522, $B$2:$B1000=B522, $D$2:$D1000&lt;&gt;D522))"),"#N/A")</f>
        <v>#N/A</v>
      </c>
    </row>
    <row r="523" spans="11:15" ht="12.75" x14ac:dyDescent="0.2">
      <c r="K523" s="6"/>
      <c r="L523" s="6"/>
      <c r="O523" s="4" t="str">
        <f ca="1">IFERROR(__xludf.DUMMYFUNCTION("TEXTJOIN("","", TRUE, FILTER($E$2:$E1000 &amp; $C$2:$C1000, $A$2:$A1000=A523, $B$2:$B1000=B523, $D$2:$D1000&lt;&gt;D523))"),"#N/A")</f>
        <v>#N/A</v>
      </c>
    </row>
    <row r="524" spans="11:15" ht="12.75" x14ac:dyDescent="0.2">
      <c r="K524" s="6"/>
      <c r="L524" s="6"/>
      <c r="O524" s="4" t="str">
        <f ca="1">IFERROR(__xludf.DUMMYFUNCTION("TEXTJOIN("","", TRUE, FILTER($E$2:$E1000 &amp; $C$2:$C1000, $A$2:$A1000=A524, $B$2:$B1000=B524, $D$2:$D1000&lt;&gt;D524))"),"#N/A")</f>
        <v>#N/A</v>
      </c>
    </row>
    <row r="525" spans="11:15" ht="12.75" x14ac:dyDescent="0.2">
      <c r="K525" s="6"/>
      <c r="L525" s="6"/>
      <c r="O525" s="4" t="str">
        <f ca="1">IFERROR(__xludf.DUMMYFUNCTION("TEXTJOIN("","", TRUE, FILTER($E$2:$E1000 &amp; $C$2:$C1000, $A$2:$A1000=A525, $B$2:$B1000=B525, $D$2:$D1000&lt;&gt;D525))"),"#N/A")</f>
        <v>#N/A</v>
      </c>
    </row>
    <row r="526" spans="11:15" ht="12.75" x14ac:dyDescent="0.2">
      <c r="K526" s="6"/>
      <c r="L526" s="6"/>
      <c r="O526" s="4" t="str">
        <f ca="1">IFERROR(__xludf.DUMMYFUNCTION("TEXTJOIN("","", TRUE, FILTER($E$2:$E1000 &amp; $C$2:$C1000, $A$2:$A1000=A526, $B$2:$B1000=B526, $D$2:$D1000&lt;&gt;D526))"),"#N/A")</f>
        <v>#N/A</v>
      </c>
    </row>
    <row r="527" spans="11:15" ht="12.75" x14ac:dyDescent="0.2">
      <c r="K527" s="6"/>
      <c r="L527" s="6"/>
      <c r="O527" s="4" t="str">
        <f ca="1">IFERROR(__xludf.DUMMYFUNCTION("TEXTJOIN("","", TRUE, FILTER($E$2:$E1000 &amp; $C$2:$C1000, $A$2:$A1000=A527, $B$2:$B1000=B527, $D$2:$D1000&lt;&gt;D527))"),"#N/A")</f>
        <v>#N/A</v>
      </c>
    </row>
    <row r="528" spans="11:15" ht="12.75" x14ac:dyDescent="0.2">
      <c r="K528" s="6"/>
      <c r="L528" s="6"/>
      <c r="O528" s="4" t="str">
        <f ca="1">IFERROR(__xludf.DUMMYFUNCTION("TEXTJOIN("","", TRUE, FILTER($E$2:$E1000 &amp; $C$2:$C1000, $A$2:$A1000=A528, $B$2:$B1000=B528, $D$2:$D1000&lt;&gt;D528))"),"#N/A")</f>
        <v>#N/A</v>
      </c>
    </row>
    <row r="529" spans="11:15" ht="12.75" x14ac:dyDescent="0.2">
      <c r="K529" s="6"/>
      <c r="L529" s="6"/>
      <c r="O529" s="4" t="str">
        <f ca="1">IFERROR(__xludf.DUMMYFUNCTION("TEXTJOIN("","", TRUE, FILTER($E$2:$E1000 &amp; $C$2:$C1000, $A$2:$A1000=A529, $B$2:$B1000=B529, $D$2:$D1000&lt;&gt;D529))"),"#N/A")</f>
        <v>#N/A</v>
      </c>
    </row>
    <row r="530" spans="11:15" ht="12.75" x14ac:dyDescent="0.2">
      <c r="K530" s="6"/>
      <c r="L530" s="6"/>
      <c r="O530" s="4" t="str">
        <f ca="1">IFERROR(__xludf.DUMMYFUNCTION("TEXTJOIN("","", TRUE, FILTER($E$2:$E1000 &amp; $C$2:$C1000, $A$2:$A1000=A530, $B$2:$B1000=B530, $D$2:$D1000&lt;&gt;D530))"),"#N/A")</f>
        <v>#N/A</v>
      </c>
    </row>
    <row r="531" spans="11:15" ht="12.75" x14ac:dyDescent="0.2">
      <c r="K531" s="6"/>
      <c r="L531" s="6"/>
      <c r="O531" s="4" t="str">
        <f ca="1">IFERROR(__xludf.DUMMYFUNCTION("TEXTJOIN("","", TRUE, FILTER($E$2:$E1000 &amp; $C$2:$C1000, $A$2:$A1000=A531, $B$2:$B1000=B531, $D$2:$D1000&lt;&gt;D531))"),"#N/A")</f>
        <v>#N/A</v>
      </c>
    </row>
    <row r="532" spans="11:15" ht="12.75" x14ac:dyDescent="0.2">
      <c r="K532" s="6"/>
      <c r="L532" s="6"/>
      <c r="O532" s="4" t="str">
        <f ca="1">IFERROR(__xludf.DUMMYFUNCTION("TEXTJOIN("","", TRUE, FILTER($E$2:$E1000 &amp; $C$2:$C1000, $A$2:$A1000=A532, $B$2:$B1000=B532, $D$2:$D1000&lt;&gt;D532))"),"#N/A")</f>
        <v>#N/A</v>
      </c>
    </row>
    <row r="533" spans="11:15" ht="12.75" x14ac:dyDescent="0.2">
      <c r="K533" s="6"/>
      <c r="L533" s="6"/>
      <c r="O533" s="4" t="str">
        <f ca="1">IFERROR(__xludf.DUMMYFUNCTION("TEXTJOIN("","", TRUE, FILTER($E$2:$E1000 &amp; $C$2:$C1000, $A$2:$A1000=A533, $B$2:$B1000=B533, $D$2:$D1000&lt;&gt;D533))"),"#N/A")</f>
        <v>#N/A</v>
      </c>
    </row>
    <row r="534" spans="11:15" ht="12.75" x14ac:dyDescent="0.2">
      <c r="K534" s="6"/>
      <c r="L534" s="6"/>
      <c r="O534" s="4" t="str">
        <f ca="1">IFERROR(__xludf.DUMMYFUNCTION("TEXTJOIN("","", TRUE, FILTER($E$2:$E1000 &amp; $C$2:$C1000, $A$2:$A1000=A534, $B$2:$B1000=B534, $D$2:$D1000&lt;&gt;D534))"),"#N/A")</f>
        <v>#N/A</v>
      </c>
    </row>
    <row r="535" spans="11:15" ht="12.75" x14ac:dyDescent="0.2">
      <c r="K535" s="6"/>
      <c r="L535" s="6"/>
      <c r="O535" s="4" t="str">
        <f ca="1">IFERROR(__xludf.DUMMYFUNCTION("TEXTJOIN("","", TRUE, FILTER($E$2:$E1000 &amp; $C$2:$C1000, $A$2:$A1000=A535, $B$2:$B1000=B535, $D$2:$D1000&lt;&gt;D535))"),"#N/A")</f>
        <v>#N/A</v>
      </c>
    </row>
    <row r="536" spans="11:15" ht="12.75" x14ac:dyDescent="0.2">
      <c r="K536" s="6"/>
      <c r="L536" s="6"/>
      <c r="O536" s="4" t="str">
        <f ca="1">IFERROR(__xludf.DUMMYFUNCTION("TEXTJOIN("","", TRUE, FILTER($E$2:$E1000 &amp; $C$2:$C1000, $A$2:$A1000=A536, $B$2:$B1000=B536, $D$2:$D1000&lt;&gt;D536))"),"#N/A")</f>
        <v>#N/A</v>
      </c>
    </row>
    <row r="537" spans="11:15" ht="12.75" x14ac:dyDescent="0.2">
      <c r="K537" s="6"/>
      <c r="L537" s="6"/>
      <c r="O537" s="4" t="str">
        <f ca="1">IFERROR(__xludf.DUMMYFUNCTION("TEXTJOIN("","", TRUE, FILTER($E$2:$E1000 &amp; $C$2:$C1000, $A$2:$A1000=A537, $B$2:$B1000=B537, $D$2:$D1000&lt;&gt;D537))"),"#N/A")</f>
        <v>#N/A</v>
      </c>
    </row>
    <row r="538" spans="11:15" ht="12.75" x14ac:dyDescent="0.2">
      <c r="K538" s="6"/>
      <c r="L538" s="6"/>
      <c r="O538" s="4" t="str">
        <f ca="1">IFERROR(__xludf.DUMMYFUNCTION("TEXTJOIN("","", TRUE, FILTER($E$2:$E1000 &amp; $C$2:$C1000, $A$2:$A1000=A538, $B$2:$B1000=B538, $D$2:$D1000&lt;&gt;D538))"),"#N/A")</f>
        <v>#N/A</v>
      </c>
    </row>
    <row r="539" spans="11:15" ht="12.75" x14ac:dyDescent="0.2">
      <c r="K539" s="6"/>
      <c r="L539" s="6"/>
      <c r="O539" s="4" t="str">
        <f ca="1">IFERROR(__xludf.DUMMYFUNCTION("TEXTJOIN("","", TRUE, FILTER($E$2:$E1000 &amp; $C$2:$C1000, $A$2:$A1000=A539, $B$2:$B1000=B539, $D$2:$D1000&lt;&gt;D539))"),"#N/A")</f>
        <v>#N/A</v>
      </c>
    </row>
    <row r="540" spans="11:15" ht="12.75" x14ac:dyDescent="0.2">
      <c r="K540" s="6"/>
      <c r="L540" s="6"/>
      <c r="O540" s="4" t="str">
        <f ca="1">IFERROR(__xludf.DUMMYFUNCTION("TEXTJOIN("","", TRUE, FILTER($E$2:$E1000 &amp; $C$2:$C1000, $A$2:$A1000=A540, $B$2:$B1000=B540, $D$2:$D1000&lt;&gt;D540))"),"#N/A")</f>
        <v>#N/A</v>
      </c>
    </row>
    <row r="541" spans="11:15" ht="12.75" x14ac:dyDescent="0.2">
      <c r="K541" s="6"/>
      <c r="L541" s="6"/>
      <c r="O541" s="4" t="str">
        <f ca="1">IFERROR(__xludf.DUMMYFUNCTION("TEXTJOIN("","", TRUE, FILTER($E$2:$E1000 &amp; $C$2:$C1000, $A$2:$A1000=A541, $B$2:$B1000=B541, $D$2:$D1000&lt;&gt;D541))"),"#N/A")</f>
        <v>#N/A</v>
      </c>
    </row>
    <row r="542" spans="11:15" ht="12.75" x14ac:dyDescent="0.2">
      <c r="K542" s="6"/>
      <c r="L542" s="6"/>
      <c r="O542" s="4" t="str">
        <f ca="1">IFERROR(__xludf.DUMMYFUNCTION("TEXTJOIN("","", TRUE, FILTER($E$2:$E1000 &amp; $C$2:$C1000, $A$2:$A1000=A542, $B$2:$B1000=B542, $D$2:$D1000&lt;&gt;D542))"),"#N/A")</f>
        <v>#N/A</v>
      </c>
    </row>
    <row r="543" spans="11:15" ht="12.75" x14ac:dyDescent="0.2">
      <c r="K543" s="6"/>
      <c r="L543" s="6"/>
      <c r="O543" s="4" t="str">
        <f ca="1">IFERROR(__xludf.DUMMYFUNCTION("TEXTJOIN("","", TRUE, FILTER($E$2:$E1000 &amp; $C$2:$C1000, $A$2:$A1000=A543, $B$2:$B1000=B543, $D$2:$D1000&lt;&gt;D543))"),"#N/A")</f>
        <v>#N/A</v>
      </c>
    </row>
    <row r="544" spans="11:15" ht="12.75" x14ac:dyDescent="0.2">
      <c r="K544" s="6"/>
      <c r="L544" s="6"/>
      <c r="O544" s="4" t="str">
        <f ca="1">IFERROR(__xludf.DUMMYFUNCTION("TEXTJOIN("","", TRUE, FILTER($E$2:$E1000 &amp; $C$2:$C1000, $A$2:$A1000=A544, $B$2:$B1000=B544, $D$2:$D1000&lt;&gt;D544))"),"#N/A")</f>
        <v>#N/A</v>
      </c>
    </row>
    <row r="545" spans="11:15" ht="12.75" x14ac:dyDescent="0.2">
      <c r="K545" s="6"/>
      <c r="L545" s="6"/>
      <c r="O545" s="4" t="str">
        <f ca="1">IFERROR(__xludf.DUMMYFUNCTION("TEXTJOIN("","", TRUE, FILTER($E$2:$E1000 &amp; $C$2:$C1000, $A$2:$A1000=A545, $B$2:$B1000=B545, $D$2:$D1000&lt;&gt;D545))"),"#N/A")</f>
        <v>#N/A</v>
      </c>
    </row>
    <row r="546" spans="11:15" ht="12.75" x14ac:dyDescent="0.2">
      <c r="K546" s="6"/>
      <c r="L546" s="6"/>
      <c r="O546" s="4" t="str">
        <f ca="1">IFERROR(__xludf.DUMMYFUNCTION("TEXTJOIN("","", TRUE, FILTER($E$2:$E1000 &amp; $C$2:$C1000, $A$2:$A1000=A546, $B$2:$B1000=B546, $D$2:$D1000&lt;&gt;D546))"),"#N/A")</f>
        <v>#N/A</v>
      </c>
    </row>
    <row r="547" spans="11:15" ht="12.75" x14ac:dyDescent="0.2">
      <c r="K547" s="6"/>
      <c r="L547" s="6"/>
      <c r="O547" s="4" t="str">
        <f ca="1">IFERROR(__xludf.DUMMYFUNCTION("TEXTJOIN("","", TRUE, FILTER($E$2:$E1000 &amp; $C$2:$C1000, $A$2:$A1000=A547, $B$2:$B1000=B547, $D$2:$D1000&lt;&gt;D547))"),"#N/A")</f>
        <v>#N/A</v>
      </c>
    </row>
    <row r="548" spans="11:15" ht="12.75" x14ac:dyDescent="0.2">
      <c r="K548" s="6"/>
      <c r="L548" s="6"/>
      <c r="O548" s="4" t="str">
        <f ca="1">IFERROR(__xludf.DUMMYFUNCTION("TEXTJOIN("","", TRUE, FILTER($E$2:$E1000 &amp; $C$2:$C1000, $A$2:$A1000=A548, $B$2:$B1000=B548, $D$2:$D1000&lt;&gt;D548))"),"#N/A")</f>
        <v>#N/A</v>
      </c>
    </row>
    <row r="549" spans="11:15" ht="12.75" x14ac:dyDescent="0.2">
      <c r="K549" s="6"/>
      <c r="L549" s="6"/>
      <c r="O549" s="4" t="str">
        <f ca="1">IFERROR(__xludf.DUMMYFUNCTION("TEXTJOIN("","", TRUE, FILTER($E$2:$E1000 &amp; $C$2:$C1000, $A$2:$A1000=A549, $B$2:$B1000=B549, $D$2:$D1000&lt;&gt;D549))"),"#N/A")</f>
        <v>#N/A</v>
      </c>
    </row>
    <row r="550" spans="11:15" ht="12.75" x14ac:dyDescent="0.2">
      <c r="K550" s="6"/>
      <c r="L550" s="6"/>
      <c r="O550" s="4" t="str">
        <f ca="1">IFERROR(__xludf.DUMMYFUNCTION("TEXTJOIN("","", TRUE, FILTER($E$2:$E1000 &amp; $C$2:$C1000, $A$2:$A1000=A550, $B$2:$B1000=B550, $D$2:$D1000&lt;&gt;D550))"),"#N/A")</f>
        <v>#N/A</v>
      </c>
    </row>
    <row r="551" spans="11:15" ht="12.75" x14ac:dyDescent="0.2">
      <c r="K551" s="6"/>
      <c r="L551" s="6"/>
      <c r="O551" s="4" t="str">
        <f ca="1">IFERROR(__xludf.DUMMYFUNCTION("TEXTJOIN("","", TRUE, FILTER($E$2:$E1000 &amp; $C$2:$C1000, $A$2:$A1000=A551, $B$2:$B1000=B551, $D$2:$D1000&lt;&gt;D551))"),"#N/A")</f>
        <v>#N/A</v>
      </c>
    </row>
    <row r="552" spans="11:15" ht="12.75" x14ac:dyDescent="0.2">
      <c r="K552" s="6"/>
      <c r="L552" s="6"/>
      <c r="O552" s="4" t="str">
        <f ca="1">IFERROR(__xludf.DUMMYFUNCTION("TEXTJOIN("","", TRUE, FILTER($E$2:$E1000 &amp; $C$2:$C1000, $A$2:$A1000=A552, $B$2:$B1000=B552, $D$2:$D1000&lt;&gt;D552))"),"#N/A")</f>
        <v>#N/A</v>
      </c>
    </row>
    <row r="553" spans="11:15" ht="12.75" x14ac:dyDescent="0.2">
      <c r="K553" s="6"/>
      <c r="L553" s="6"/>
      <c r="O553" s="4" t="str">
        <f ca="1">IFERROR(__xludf.DUMMYFUNCTION("TEXTJOIN("","", TRUE, FILTER($E$2:$E1000 &amp; $C$2:$C1000, $A$2:$A1000=A553, $B$2:$B1000=B553, $D$2:$D1000&lt;&gt;D553))"),"#N/A")</f>
        <v>#N/A</v>
      </c>
    </row>
    <row r="554" spans="11:15" ht="12.75" x14ac:dyDescent="0.2">
      <c r="K554" s="6"/>
      <c r="L554" s="6"/>
      <c r="O554" s="4" t="str">
        <f ca="1">IFERROR(__xludf.DUMMYFUNCTION("TEXTJOIN("","", TRUE, FILTER($E$2:$E1000 &amp; $C$2:$C1000, $A$2:$A1000=A554, $B$2:$B1000=B554, $D$2:$D1000&lt;&gt;D554))"),"#N/A")</f>
        <v>#N/A</v>
      </c>
    </row>
    <row r="555" spans="11:15" ht="12.75" x14ac:dyDescent="0.2">
      <c r="K555" s="6"/>
      <c r="L555" s="6"/>
      <c r="O555" s="4" t="str">
        <f ca="1">IFERROR(__xludf.DUMMYFUNCTION("TEXTJOIN("","", TRUE, FILTER($E$2:$E1000 &amp; $C$2:$C1000, $A$2:$A1000=A555, $B$2:$B1000=B555, $D$2:$D1000&lt;&gt;D555))"),"#N/A")</f>
        <v>#N/A</v>
      </c>
    </row>
    <row r="556" spans="11:15" ht="12.75" x14ac:dyDescent="0.2">
      <c r="K556" s="6"/>
      <c r="L556" s="6"/>
      <c r="O556" s="4" t="str">
        <f ca="1">IFERROR(__xludf.DUMMYFUNCTION("TEXTJOIN("","", TRUE, FILTER($E$2:$E1000 &amp; $C$2:$C1000, $A$2:$A1000=A556, $B$2:$B1000=B556, $D$2:$D1000&lt;&gt;D556))"),"#N/A")</f>
        <v>#N/A</v>
      </c>
    </row>
    <row r="557" spans="11:15" ht="12.75" x14ac:dyDescent="0.2">
      <c r="K557" s="6"/>
      <c r="L557" s="6"/>
      <c r="O557" s="4" t="str">
        <f ca="1">IFERROR(__xludf.DUMMYFUNCTION("TEXTJOIN("","", TRUE, FILTER($E$2:$E1000 &amp; $C$2:$C1000, $A$2:$A1000=A557, $B$2:$B1000=B557, $D$2:$D1000&lt;&gt;D557))"),"#N/A")</f>
        <v>#N/A</v>
      </c>
    </row>
    <row r="558" spans="11:15" ht="12.75" x14ac:dyDescent="0.2">
      <c r="K558" s="6"/>
      <c r="L558" s="6"/>
      <c r="O558" s="4" t="str">
        <f ca="1">IFERROR(__xludf.DUMMYFUNCTION("TEXTJOIN("","", TRUE, FILTER($E$2:$E1000 &amp; $C$2:$C1000, $A$2:$A1000=A558, $B$2:$B1000=B558, $D$2:$D1000&lt;&gt;D558))"),"#N/A")</f>
        <v>#N/A</v>
      </c>
    </row>
    <row r="559" spans="11:15" ht="12.75" x14ac:dyDescent="0.2">
      <c r="K559" s="6"/>
      <c r="L559" s="6"/>
      <c r="O559" s="4" t="str">
        <f ca="1">IFERROR(__xludf.DUMMYFUNCTION("TEXTJOIN("","", TRUE, FILTER($E$2:$E1000 &amp; $C$2:$C1000, $A$2:$A1000=A559, $B$2:$B1000=B559, $D$2:$D1000&lt;&gt;D559))"),"#N/A")</f>
        <v>#N/A</v>
      </c>
    </row>
    <row r="560" spans="11:15" ht="12.75" x14ac:dyDescent="0.2">
      <c r="K560" s="6"/>
      <c r="L560" s="6"/>
      <c r="O560" s="4" t="str">
        <f ca="1">IFERROR(__xludf.DUMMYFUNCTION("TEXTJOIN("","", TRUE, FILTER($E$2:$E1000 &amp; $C$2:$C1000, $A$2:$A1000=A560, $B$2:$B1000=B560, $D$2:$D1000&lt;&gt;D560))"),"#N/A")</f>
        <v>#N/A</v>
      </c>
    </row>
    <row r="561" spans="11:15" ht="12.75" x14ac:dyDescent="0.2">
      <c r="K561" s="6"/>
      <c r="L561" s="6"/>
      <c r="O561" s="4" t="str">
        <f ca="1">IFERROR(__xludf.DUMMYFUNCTION("TEXTJOIN("","", TRUE, FILTER($E$2:$E1000 &amp; $C$2:$C1000, $A$2:$A1000=A561, $B$2:$B1000=B561, $D$2:$D1000&lt;&gt;D561))"),"#N/A")</f>
        <v>#N/A</v>
      </c>
    </row>
    <row r="562" spans="11:15" ht="12.75" x14ac:dyDescent="0.2">
      <c r="K562" s="6"/>
      <c r="L562" s="6"/>
      <c r="O562" s="4" t="str">
        <f ca="1">IFERROR(__xludf.DUMMYFUNCTION("TEXTJOIN("","", TRUE, FILTER($E$2:$E1000 &amp; $C$2:$C1000, $A$2:$A1000=A562, $B$2:$B1000=B562, $D$2:$D1000&lt;&gt;D562))"),"#N/A")</f>
        <v>#N/A</v>
      </c>
    </row>
    <row r="563" spans="11:15" ht="12.75" x14ac:dyDescent="0.2">
      <c r="K563" s="6"/>
      <c r="L563" s="6"/>
      <c r="O563" s="4" t="str">
        <f ca="1">IFERROR(__xludf.DUMMYFUNCTION("TEXTJOIN("","", TRUE, FILTER($E$2:$E1000 &amp; $C$2:$C1000, $A$2:$A1000=A563, $B$2:$B1000=B563, $D$2:$D1000&lt;&gt;D563))"),"#N/A")</f>
        <v>#N/A</v>
      </c>
    </row>
    <row r="564" spans="11:15" ht="12.75" x14ac:dyDescent="0.2">
      <c r="K564" s="6"/>
      <c r="L564" s="6"/>
      <c r="O564" s="4" t="str">
        <f ca="1">IFERROR(__xludf.DUMMYFUNCTION("TEXTJOIN("","", TRUE, FILTER($E$2:$E1000 &amp; $C$2:$C1000, $A$2:$A1000=A564, $B$2:$B1000=B564, $D$2:$D1000&lt;&gt;D564))"),"#N/A")</f>
        <v>#N/A</v>
      </c>
    </row>
    <row r="565" spans="11:15" ht="12.75" x14ac:dyDescent="0.2">
      <c r="K565" s="6"/>
      <c r="L565" s="6"/>
      <c r="O565" s="4" t="str">
        <f ca="1">IFERROR(__xludf.DUMMYFUNCTION("TEXTJOIN("","", TRUE, FILTER($E$2:$E1000 &amp; $C$2:$C1000, $A$2:$A1000=A565, $B$2:$B1000=B565, $D$2:$D1000&lt;&gt;D565))"),"#N/A")</f>
        <v>#N/A</v>
      </c>
    </row>
    <row r="566" spans="11:15" ht="12.75" x14ac:dyDescent="0.2">
      <c r="K566" s="6"/>
      <c r="L566" s="6"/>
      <c r="O566" s="4" t="str">
        <f ca="1">IFERROR(__xludf.DUMMYFUNCTION("TEXTJOIN("","", TRUE, FILTER($E$2:$E1000 &amp; $C$2:$C1000, $A$2:$A1000=A566, $B$2:$B1000=B566, $D$2:$D1000&lt;&gt;D566))"),"#N/A")</f>
        <v>#N/A</v>
      </c>
    </row>
    <row r="567" spans="11:15" ht="12.75" x14ac:dyDescent="0.2">
      <c r="K567" s="6"/>
      <c r="L567" s="6"/>
      <c r="O567" s="4" t="str">
        <f ca="1">IFERROR(__xludf.DUMMYFUNCTION("TEXTJOIN("","", TRUE, FILTER($E$2:$E1000 &amp; $C$2:$C1000, $A$2:$A1000=A567, $B$2:$B1000=B567, $D$2:$D1000&lt;&gt;D567))"),"#N/A")</f>
        <v>#N/A</v>
      </c>
    </row>
    <row r="568" spans="11:15" ht="12.75" x14ac:dyDescent="0.2">
      <c r="K568" s="6"/>
      <c r="L568" s="6"/>
      <c r="O568" s="4" t="str">
        <f ca="1">IFERROR(__xludf.DUMMYFUNCTION("TEXTJOIN("","", TRUE, FILTER($E$2:$E1000 &amp; $C$2:$C1000, $A$2:$A1000=A568, $B$2:$B1000=B568, $D$2:$D1000&lt;&gt;D568))"),"#N/A")</f>
        <v>#N/A</v>
      </c>
    </row>
    <row r="569" spans="11:15" ht="12.75" x14ac:dyDescent="0.2">
      <c r="K569" s="6"/>
      <c r="L569" s="6"/>
      <c r="O569" s="4" t="str">
        <f ca="1">IFERROR(__xludf.DUMMYFUNCTION("TEXTJOIN("","", TRUE, FILTER($E$2:$E1000 &amp; $C$2:$C1000, $A$2:$A1000=A569, $B$2:$B1000=B569, $D$2:$D1000&lt;&gt;D569))"),"#N/A")</f>
        <v>#N/A</v>
      </c>
    </row>
    <row r="570" spans="11:15" ht="12.75" x14ac:dyDescent="0.2">
      <c r="K570" s="6"/>
      <c r="L570" s="6"/>
      <c r="O570" s="4" t="str">
        <f ca="1">IFERROR(__xludf.DUMMYFUNCTION("TEXTJOIN("","", TRUE, FILTER($E$2:$E1000 &amp; $C$2:$C1000, $A$2:$A1000=A570, $B$2:$B1000=B570, $D$2:$D1000&lt;&gt;D570))"),"#N/A")</f>
        <v>#N/A</v>
      </c>
    </row>
    <row r="571" spans="11:15" ht="12.75" x14ac:dyDescent="0.2">
      <c r="K571" s="6"/>
      <c r="L571" s="6"/>
      <c r="O571" s="4" t="str">
        <f ca="1">IFERROR(__xludf.DUMMYFUNCTION("TEXTJOIN("","", TRUE, FILTER($E$2:$E1000 &amp; $C$2:$C1000, $A$2:$A1000=A571, $B$2:$B1000=B571, $D$2:$D1000&lt;&gt;D571))"),"#N/A")</f>
        <v>#N/A</v>
      </c>
    </row>
    <row r="572" spans="11:15" ht="12.75" x14ac:dyDescent="0.2">
      <c r="K572" s="6"/>
      <c r="L572" s="6"/>
      <c r="O572" s="4" t="str">
        <f ca="1">IFERROR(__xludf.DUMMYFUNCTION("TEXTJOIN("","", TRUE, FILTER($E$2:$E1000 &amp; $C$2:$C1000, $A$2:$A1000=A572, $B$2:$B1000=B572, $D$2:$D1000&lt;&gt;D572))"),"#N/A")</f>
        <v>#N/A</v>
      </c>
    </row>
    <row r="573" spans="11:15" ht="12.75" x14ac:dyDescent="0.2">
      <c r="K573" s="6"/>
      <c r="L573" s="6"/>
      <c r="O573" s="4" t="str">
        <f ca="1">IFERROR(__xludf.DUMMYFUNCTION("TEXTJOIN("","", TRUE, FILTER($E$2:$E1000 &amp; $C$2:$C1000, $A$2:$A1000=A573, $B$2:$B1000=B573, $D$2:$D1000&lt;&gt;D573))"),"#N/A")</f>
        <v>#N/A</v>
      </c>
    </row>
    <row r="574" spans="11:15" ht="12.75" x14ac:dyDescent="0.2">
      <c r="K574" s="6"/>
      <c r="L574" s="6"/>
      <c r="O574" s="4" t="str">
        <f ca="1">IFERROR(__xludf.DUMMYFUNCTION("TEXTJOIN("","", TRUE, FILTER($E$2:$E1000 &amp; $C$2:$C1000, $A$2:$A1000=A574, $B$2:$B1000=B574, $D$2:$D1000&lt;&gt;D574))"),"#N/A")</f>
        <v>#N/A</v>
      </c>
    </row>
    <row r="575" spans="11:15" ht="12.75" x14ac:dyDescent="0.2">
      <c r="K575" s="6"/>
      <c r="L575" s="6"/>
      <c r="O575" s="4" t="str">
        <f ca="1">IFERROR(__xludf.DUMMYFUNCTION("TEXTJOIN("","", TRUE, FILTER($E$2:$E1000 &amp; $C$2:$C1000, $A$2:$A1000=A575, $B$2:$B1000=B575, $D$2:$D1000&lt;&gt;D575))"),"#N/A")</f>
        <v>#N/A</v>
      </c>
    </row>
    <row r="576" spans="11:15" ht="12.75" x14ac:dyDescent="0.2">
      <c r="K576" s="6"/>
      <c r="L576" s="6"/>
      <c r="O576" s="4" t="str">
        <f ca="1">IFERROR(__xludf.DUMMYFUNCTION("TEXTJOIN("","", TRUE, FILTER($E$2:$E1000 &amp; $C$2:$C1000, $A$2:$A1000=A576, $B$2:$B1000=B576, $D$2:$D1000&lt;&gt;D576))"),"#N/A")</f>
        <v>#N/A</v>
      </c>
    </row>
    <row r="577" spans="11:15" ht="12.75" x14ac:dyDescent="0.2">
      <c r="K577" s="6"/>
      <c r="L577" s="6"/>
      <c r="O577" s="4" t="str">
        <f ca="1">IFERROR(__xludf.DUMMYFUNCTION("TEXTJOIN("","", TRUE, FILTER($E$2:$E1000 &amp; $C$2:$C1000, $A$2:$A1000=A577, $B$2:$B1000=B577, $D$2:$D1000&lt;&gt;D577))"),"#N/A")</f>
        <v>#N/A</v>
      </c>
    </row>
    <row r="578" spans="11:15" ht="12.75" x14ac:dyDescent="0.2">
      <c r="K578" s="6"/>
      <c r="L578" s="6"/>
      <c r="O578" s="4" t="str">
        <f ca="1">IFERROR(__xludf.DUMMYFUNCTION("TEXTJOIN("","", TRUE, FILTER($E$2:$E1000 &amp; $C$2:$C1000, $A$2:$A1000=A578, $B$2:$B1000=B578, $D$2:$D1000&lt;&gt;D578))"),"#N/A")</f>
        <v>#N/A</v>
      </c>
    </row>
    <row r="579" spans="11:15" ht="12.75" x14ac:dyDescent="0.2">
      <c r="K579" s="6"/>
      <c r="L579" s="6"/>
      <c r="O579" s="4" t="str">
        <f ca="1">IFERROR(__xludf.DUMMYFUNCTION("TEXTJOIN("","", TRUE, FILTER($E$2:$E1000 &amp; $C$2:$C1000, $A$2:$A1000=A579, $B$2:$B1000=B579, $D$2:$D1000&lt;&gt;D579))"),"#N/A")</f>
        <v>#N/A</v>
      </c>
    </row>
    <row r="580" spans="11:15" ht="12.75" x14ac:dyDescent="0.2">
      <c r="K580" s="6"/>
      <c r="L580" s="6"/>
      <c r="O580" s="4" t="str">
        <f ca="1">IFERROR(__xludf.DUMMYFUNCTION("TEXTJOIN("","", TRUE, FILTER($E$2:$E1000 &amp; $C$2:$C1000, $A$2:$A1000=A580, $B$2:$B1000=B580, $D$2:$D1000&lt;&gt;D580))"),"#N/A")</f>
        <v>#N/A</v>
      </c>
    </row>
    <row r="581" spans="11:15" ht="12.75" x14ac:dyDescent="0.2">
      <c r="K581" s="6"/>
      <c r="L581" s="6"/>
      <c r="O581" s="4" t="str">
        <f ca="1">IFERROR(__xludf.DUMMYFUNCTION("TEXTJOIN("","", TRUE, FILTER($E$2:$E1000 &amp; $C$2:$C1000, $A$2:$A1000=A581, $B$2:$B1000=B581, $D$2:$D1000&lt;&gt;D581))"),"#N/A")</f>
        <v>#N/A</v>
      </c>
    </row>
    <row r="582" spans="11:15" ht="12.75" x14ac:dyDescent="0.2">
      <c r="K582" s="6"/>
      <c r="L582" s="6"/>
      <c r="O582" s="4" t="str">
        <f ca="1">IFERROR(__xludf.DUMMYFUNCTION("TEXTJOIN("","", TRUE, FILTER($E$2:$E1000 &amp; $C$2:$C1000, $A$2:$A1000=A582, $B$2:$B1000=B582, $D$2:$D1000&lt;&gt;D582))"),"#N/A")</f>
        <v>#N/A</v>
      </c>
    </row>
    <row r="583" spans="11:15" ht="12.75" x14ac:dyDescent="0.2">
      <c r="K583" s="6"/>
      <c r="L583" s="6"/>
      <c r="O583" s="4" t="str">
        <f ca="1">IFERROR(__xludf.DUMMYFUNCTION("TEXTJOIN("","", TRUE, FILTER($E$2:$E1000 &amp; $C$2:$C1000, $A$2:$A1000=A583, $B$2:$B1000=B583, $D$2:$D1000&lt;&gt;D583))"),"#N/A")</f>
        <v>#N/A</v>
      </c>
    </row>
    <row r="584" spans="11:15" ht="12.75" x14ac:dyDescent="0.2">
      <c r="K584" s="6"/>
      <c r="L584" s="6"/>
      <c r="O584" s="4" t="str">
        <f ca="1">IFERROR(__xludf.DUMMYFUNCTION("TEXTJOIN("","", TRUE, FILTER($E$2:$E1000 &amp; $C$2:$C1000, $A$2:$A1000=A584, $B$2:$B1000=B584, $D$2:$D1000&lt;&gt;D584))"),"#N/A")</f>
        <v>#N/A</v>
      </c>
    </row>
    <row r="585" spans="11:15" ht="12.75" x14ac:dyDescent="0.2">
      <c r="K585" s="6"/>
      <c r="L585" s="6"/>
      <c r="O585" s="4" t="str">
        <f ca="1">IFERROR(__xludf.DUMMYFUNCTION("TEXTJOIN("","", TRUE, FILTER($E$2:$E1000 &amp; $C$2:$C1000, $A$2:$A1000=A585, $B$2:$B1000=B585, $D$2:$D1000&lt;&gt;D585))"),"#N/A")</f>
        <v>#N/A</v>
      </c>
    </row>
    <row r="586" spans="11:15" ht="12.75" x14ac:dyDescent="0.2">
      <c r="K586" s="6"/>
      <c r="L586" s="6"/>
      <c r="O586" s="4" t="str">
        <f ca="1">IFERROR(__xludf.DUMMYFUNCTION("TEXTJOIN("","", TRUE, FILTER($E$2:$E1000 &amp; $C$2:$C1000, $A$2:$A1000=A586, $B$2:$B1000=B586, $D$2:$D1000&lt;&gt;D586))"),"#N/A")</f>
        <v>#N/A</v>
      </c>
    </row>
    <row r="587" spans="11:15" ht="12.75" x14ac:dyDescent="0.2">
      <c r="K587" s="6"/>
      <c r="L587" s="6"/>
      <c r="O587" s="4" t="str">
        <f ca="1">IFERROR(__xludf.DUMMYFUNCTION("TEXTJOIN("","", TRUE, FILTER($E$2:$E1000 &amp; $C$2:$C1000, $A$2:$A1000=A587, $B$2:$B1000=B587, $D$2:$D1000&lt;&gt;D587))"),"#N/A")</f>
        <v>#N/A</v>
      </c>
    </row>
    <row r="588" spans="11:15" ht="12.75" x14ac:dyDescent="0.2">
      <c r="K588" s="6"/>
      <c r="L588" s="6"/>
      <c r="O588" s="4" t="str">
        <f ca="1">IFERROR(__xludf.DUMMYFUNCTION("TEXTJOIN("","", TRUE, FILTER($E$2:$E1000 &amp; $C$2:$C1000, $A$2:$A1000=A588, $B$2:$B1000=B588, $D$2:$D1000&lt;&gt;D588))"),"#N/A")</f>
        <v>#N/A</v>
      </c>
    </row>
    <row r="589" spans="11:15" ht="12.75" x14ac:dyDescent="0.2">
      <c r="K589" s="6"/>
      <c r="L589" s="6"/>
      <c r="O589" s="4" t="str">
        <f ca="1">IFERROR(__xludf.DUMMYFUNCTION("TEXTJOIN("","", TRUE, FILTER($E$2:$E1000 &amp; $C$2:$C1000, $A$2:$A1000=A589, $B$2:$B1000=B589, $D$2:$D1000&lt;&gt;D589))"),"#N/A")</f>
        <v>#N/A</v>
      </c>
    </row>
    <row r="590" spans="11:15" ht="12.75" x14ac:dyDescent="0.2">
      <c r="K590" s="6"/>
      <c r="L590" s="6"/>
      <c r="O590" s="4" t="str">
        <f ca="1">IFERROR(__xludf.DUMMYFUNCTION("TEXTJOIN("","", TRUE, FILTER($E$2:$E1000 &amp; $C$2:$C1000, $A$2:$A1000=A590, $B$2:$B1000=B590, $D$2:$D1000&lt;&gt;D590))"),"#N/A")</f>
        <v>#N/A</v>
      </c>
    </row>
    <row r="591" spans="11:15" ht="12.75" x14ac:dyDescent="0.2">
      <c r="K591" s="6"/>
      <c r="L591" s="6"/>
      <c r="O591" s="4" t="str">
        <f ca="1">IFERROR(__xludf.DUMMYFUNCTION("TEXTJOIN("","", TRUE, FILTER($E$2:$E1000 &amp; $C$2:$C1000, $A$2:$A1000=A591, $B$2:$B1000=B591, $D$2:$D1000&lt;&gt;D591))"),"#N/A")</f>
        <v>#N/A</v>
      </c>
    </row>
    <row r="592" spans="11:15" ht="12.75" x14ac:dyDescent="0.2">
      <c r="K592" s="6"/>
      <c r="L592" s="6"/>
      <c r="O592" s="4" t="str">
        <f ca="1">IFERROR(__xludf.DUMMYFUNCTION("TEXTJOIN("","", TRUE, FILTER($E$2:$E1000 &amp; $C$2:$C1000, $A$2:$A1000=A592, $B$2:$B1000=B592, $D$2:$D1000&lt;&gt;D592))"),"#N/A")</f>
        <v>#N/A</v>
      </c>
    </row>
    <row r="593" spans="11:15" ht="12.75" x14ac:dyDescent="0.2">
      <c r="K593" s="6"/>
      <c r="L593" s="6"/>
      <c r="O593" s="4" t="str">
        <f ca="1">IFERROR(__xludf.DUMMYFUNCTION("TEXTJOIN("","", TRUE, FILTER($E$2:$E1000 &amp; $C$2:$C1000, $A$2:$A1000=A593, $B$2:$B1000=B593, $D$2:$D1000&lt;&gt;D593))"),"#N/A")</f>
        <v>#N/A</v>
      </c>
    </row>
    <row r="594" spans="11:15" ht="12.75" x14ac:dyDescent="0.2">
      <c r="K594" s="6"/>
      <c r="L594" s="6"/>
      <c r="O594" s="4" t="str">
        <f ca="1">IFERROR(__xludf.DUMMYFUNCTION("TEXTJOIN("","", TRUE, FILTER($E$2:$E1000 &amp; $C$2:$C1000, $A$2:$A1000=A594, $B$2:$B1000=B594, $D$2:$D1000&lt;&gt;D594))"),"#N/A")</f>
        <v>#N/A</v>
      </c>
    </row>
    <row r="595" spans="11:15" ht="12.75" x14ac:dyDescent="0.2">
      <c r="K595" s="6"/>
      <c r="L595" s="6"/>
      <c r="O595" s="4" t="str">
        <f ca="1">IFERROR(__xludf.DUMMYFUNCTION("TEXTJOIN("","", TRUE, FILTER($E$2:$E1000 &amp; $C$2:$C1000, $A$2:$A1000=A595, $B$2:$B1000=B595, $D$2:$D1000&lt;&gt;D595))"),"#N/A")</f>
        <v>#N/A</v>
      </c>
    </row>
    <row r="596" spans="11:15" ht="12.75" x14ac:dyDescent="0.2">
      <c r="K596" s="6"/>
      <c r="L596" s="6"/>
      <c r="O596" s="4" t="str">
        <f ca="1">IFERROR(__xludf.DUMMYFUNCTION("TEXTJOIN("","", TRUE, FILTER($E$2:$E1000 &amp; $C$2:$C1000, $A$2:$A1000=A596, $B$2:$B1000=B596, $D$2:$D1000&lt;&gt;D596))"),"#N/A")</f>
        <v>#N/A</v>
      </c>
    </row>
    <row r="597" spans="11:15" ht="12.75" x14ac:dyDescent="0.2">
      <c r="K597" s="6"/>
      <c r="L597" s="6"/>
      <c r="O597" s="4" t="str">
        <f ca="1">IFERROR(__xludf.DUMMYFUNCTION("TEXTJOIN("","", TRUE, FILTER($E$2:$E1000 &amp; $C$2:$C1000, $A$2:$A1000=A597, $B$2:$B1000=B597, $D$2:$D1000&lt;&gt;D597))"),"#N/A")</f>
        <v>#N/A</v>
      </c>
    </row>
    <row r="598" spans="11:15" ht="12.75" x14ac:dyDescent="0.2">
      <c r="K598" s="6"/>
      <c r="L598" s="6"/>
      <c r="O598" s="4" t="str">
        <f ca="1">IFERROR(__xludf.DUMMYFUNCTION("TEXTJOIN("","", TRUE, FILTER($E$2:$E1000 &amp; $C$2:$C1000, $A$2:$A1000=A598, $B$2:$B1000=B598, $D$2:$D1000&lt;&gt;D598))"),"#N/A")</f>
        <v>#N/A</v>
      </c>
    </row>
    <row r="599" spans="11:15" ht="12.75" x14ac:dyDescent="0.2">
      <c r="K599" s="6"/>
      <c r="L599" s="6"/>
      <c r="O599" s="4" t="str">
        <f ca="1">IFERROR(__xludf.DUMMYFUNCTION("TEXTJOIN("","", TRUE, FILTER($E$2:$E1000 &amp; $C$2:$C1000, $A$2:$A1000=A599, $B$2:$B1000=B599, $D$2:$D1000&lt;&gt;D599))"),"#N/A")</f>
        <v>#N/A</v>
      </c>
    </row>
    <row r="600" spans="11:15" ht="12.75" x14ac:dyDescent="0.2">
      <c r="K600" s="6"/>
      <c r="L600" s="6"/>
      <c r="O600" s="4" t="str">
        <f ca="1">IFERROR(__xludf.DUMMYFUNCTION("TEXTJOIN("","", TRUE, FILTER($E$2:$E1000 &amp; $C$2:$C1000, $A$2:$A1000=A600, $B$2:$B1000=B600, $D$2:$D1000&lt;&gt;D600))"),"#N/A")</f>
        <v>#N/A</v>
      </c>
    </row>
    <row r="601" spans="11:15" ht="12.75" x14ac:dyDescent="0.2">
      <c r="K601" s="6"/>
      <c r="L601" s="6"/>
      <c r="O601" s="4" t="str">
        <f ca="1">IFERROR(__xludf.DUMMYFUNCTION("TEXTJOIN("","", TRUE, FILTER($E$2:$E1000 &amp; $C$2:$C1000, $A$2:$A1000=A601, $B$2:$B1000=B601, $D$2:$D1000&lt;&gt;D601))"),"#N/A")</f>
        <v>#N/A</v>
      </c>
    </row>
    <row r="602" spans="11:15" ht="12.75" x14ac:dyDescent="0.2">
      <c r="K602" s="6"/>
      <c r="L602" s="6"/>
      <c r="O602" s="4" t="str">
        <f ca="1">IFERROR(__xludf.DUMMYFUNCTION("TEXTJOIN("","", TRUE, FILTER($E$2:$E1000 &amp; $C$2:$C1000, $A$2:$A1000=A602, $B$2:$B1000=B602, $D$2:$D1000&lt;&gt;D602))"),"#N/A")</f>
        <v>#N/A</v>
      </c>
    </row>
    <row r="603" spans="11:15" ht="12.75" x14ac:dyDescent="0.2">
      <c r="K603" s="6"/>
      <c r="L603" s="6"/>
      <c r="O603" s="4" t="str">
        <f ca="1">IFERROR(__xludf.DUMMYFUNCTION("TEXTJOIN("","", TRUE, FILTER($E$2:$E1000 &amp; $C$2:$C1000, $A$2:$A1000=A603, $B$2:$B1000=B603, $D$2:$D1000&lt;&gt;D603))"),"#N/A")</f>
        <v>#N/A</v>
      </c>
    </row>
    <row r="604" spans="11:15" ht="12.75" x14ac:dyDescent="0.2">
      <c r="K604" s="6"/>
      <c r="L604" s="6"/>
      <c r="O604" s="4" t="str">
        <f ca="1">IFERROR(__xludf.DUMMYFUNCTION("TEXTJOIN("","", TRUE, FILTER($E$2:$E1000 &amp; $C$2:$C1000, $A$2:$A1000=A604, $B$2:$B1000=B604, $D$2:$D1000&lt;&gt;D604))"),"#N/A")</f>
        <v>#N/A</v>
      </c>
    </row>
    <row r="605" spans="11:15" ht="12.75" x14ac:dyDescent="0.2">
      <c r="K605" s="6"/>
      <c r="L605" s="6"/>
      <c r="O605" s="4" t="str">
        <f ca="1">IFERROR(__xludf.DUMMYFUNCTION("TEXTJOIN("","", TRUE, FILTER($E$2:$E1000 &amp; $C$2:$C1000, $A$2:$A1000=A605, $B$2:$B1000=B605, $D$2:$D1000&lt;&gt;D605))"),"#N/A")</f>
        <v>#N/A</v>
      </c>
    </row>
    <row r="606" spans="11:15" ht="12.75" x14ac:dyDescent="0.2">
      <c r="K606" s="6"/>
      <c r="L606" s="6"/>
      <c r="O606" s="4" t="str">
        <f ca="1">IFERROR(__xludf.DUMMYFUNCTION("TEXTJOIN("","", TRUE, FILTER($E$2:$E1000 &amp; $C$2:$C1000, $A$2:$A1000=A606, $B$2:$B1000=B606, $D$2:$D1000&lt;&gt;D606))"),"#N/A")</f>
        <v>#N/A</v>
      </c>
    </row>
    <row r="607" spans="11:15" ht="12.75" x14ac:dyDescent="0.2">
      <c r="K607" s="6"/>
      <c r="L607" s="6"/>
      <c r="O607" s="4" t="str">
        <f ca="1">IFERROR(__xludf.DUMMYFUNCTION("TEXTJOIN("","", TRUE, FILTER($E$2:$E1000 &amp; $C$2:$C1000, $A$2:$A1000=A607, $B$2:$B1000=B607, $D$2:$D1000&lt;&gt;D607))"),"#N/A")</f>
        <v>#N/A</v>
      </c>
    </row>
    <row r="608" spans="11:15" ht="12.75" x14ac:dyDescent="0.2">
      <c r="K608" s="6"/>
      <c r="L608" s="6"/>
      <c r="O608" s="4" t="str">
        <f ca="1">IFERROR(__xludf.DUMMYFUNCTION("TEXTJOIN("","", TRUE, FILTER($E$2:$E1000 &amp; $C$2:$C1000, $A$2:$A1000=A608, $B$2:$B1000=B608, $D$2:$D1000&lt;&gt;D608))"),"#N/A")</f>
        <v>#N/A</v>
      </c>
    </row>
    <row r="609" spans="11:15" ht="12.75" x14ac:dyDescent="0.2">
      <c r="K609" s="6"/>
      <c r="L609" s="6"/>
      <c r="O609" s="4" t="str">
        <f ca="1">IFERROR(__xludf.DUMMYFUNCTION("TEXTJOIN("","", TRUE, FILTER($E$2:$E1000 &amp; $C$2:$C1000, $A$2:$A1000=A609, $B$2:$B1000=B609, $D$2:$D1000&lt;&gt;D609))"),"#N/A")</f>
        <v>#N/A</v>
      </c>
    </row>
    <row r="610" spans="11:15" ht="12.75" x14ac:dyDescent="0.2">
      <c r="K610" s="6"/>
      <c r="L610" s="6"/>
      <c r="O610" s="4" t="str">
        <f ca="1">IFERROR(__xludf.DUMMYFUNCTION("TEXTJOIN("","", TRUE, FILTER($E$2:$E1000 &amp; $C$2:$C1000, $A$2:$A1000=A610, $B$2:$B1000=B610, $D$2:$D1000&lt;&gt;D610))"),"#N/A")</f>
        <v>#N/A</v>
      </c>
    </row>
    <row r="611" spans="11:15" ht="12.75" x14ac:dyDescent="0.2">
      <c r="K611" s="6"/>
      <c r="L611" s="6"/>
      <c r="O611" s="4" t="str">
        <f ca="1">IFERROR(__xludf.DUMMYFUNCTION("TEXTJOIN("","", TRUE, FILTER($E$2:$E1000 &amp; $C$2:$C1000, $A$2:$A1000=A611, $B$2:$B1000=B611, $D$2:$D1000&lt;&gt;D611))"),"#N/A")</f>
        <v>#N/A</v>
      </c>
    </row>
    <row r="612" spans="11:15" ht="12.75" x14ac:dyDescent="0.2">
      <c r="K612" s="6"/>
      <c r="L612" s="6"/>
      <c r="O612" s="4" t="str">
        <f ca="1">IFERROR(__xludf.DUMMYFUNCTION("TEXTJOIN("","", TRUE, FILTER($E$2:$E1000 &amp; $C$2:$C1000, $A$2:$A1000=A612, $B$2:$B1000=B612, $D$2:$D1000&lt;&gt;D612))"),"#N/A")</f>
        <v>#N/A</v>
      </c>
    </row>
    <row r="613" spans="11:15" ht="12.75" x14ac:dyDescent="0.2">
      <c r="K613" s="6"/>
      <c r="L613" s="6"/>
      <c r="O613" s="4" t="str">
        <f ca="1">IFERROR(__xludf.DUMMYFUNCTION("TEXTJOIN("","", TRUE, FILTER($E$2:$E1000 &amp; $C$2:$C1000, $A$2:$A1000=A613, $B$2:$B1000=B613, $D$2:$D1000&lt;&gt;D613))"),"#N/A")</f>
        <v>#N/A</v>
      </c>
    </row>
    <row r="614" spans="11:15" ht="12.75" x14ac:dyDescent="0.2">
      <c r="K614" s="6"/>
      <c r="L614" s="6"/>
      <c r="O614" s="4" t="str">
        <f ca="1">IFERROR(__xludf.DUMMYFUNCTION("TEXTJOIN("","", TRUE, FILTER($E$2:$E1000 &amp; $C$2:$C1000, $A$2:$A1000=A614, $B$2:$B1000=B614, $D$2:$D1000&lt;&gt;D614))"),"#N/A")</f>
        <v>#N/A</v>
      </c>
    </row>
    <row r="615" spans="11:15" ht="12.75" x14ac:dyDescent="0.2">
      <c r="K615" s="6"/>
      <c r="L615" s="6"/>
      <c r="O615" s="4" t="str">
        <f ca="1">IFERROR(__xludf.DUMMYFUNCTION("TEXTJOIN("","", TRUE, FILTER($E$2:$E1000 &amp; $C$2:$C1000, $A$2:$A1000=A615, $B$2:$B1000=B615, $D$2:$D1000&lt;&gt;D615))"),"#N/A")</f>
        <v>#N/A</v>
      </c>
    </row>
    <row r="616" spans="11:15" ht="12.75" x14ac:dyDescent="0.2">
      <c r="K616" s="6"/>
      <c r="L616" s="6"/>
      <c r="O616" s="4" t="str">
        <f ca="1">IFERROR(__xludf.DUMMYFUNCTION("TEXTJOIN("","", TRUE, FILTER($E$2:$E1000 &amp; $C$2:$C1000, $A$2:$A1000=A616, $B$2:$B1000=B616, $D$2:$D1000&lt;&gt;D616))"),"#N/A")</f>
        <v>#N/A</v>
      </c>
    </row>
    <row r="617" spans="11:15" ht="12.75" x14ac:dyDescent="0.2">
      <c r="K617" s="6"/>
      <c r="L617" s="6"/>
      <c r="O617" s="4" t="str">
        <f ca="1">IFERROR(__xludf.DUMMYFUNCTION("TEXTJOIN("","", TRUE, FILTER($E$2:$E1000 &amp; $C$2:$C1000, $A$2:$A1000=A617, $B$2:$B1000=B617, $D$2:$D1000&lt;&gt;D617))"),"#N/A")</f>
        <v>#N/A</v>
      </c>
    </row>
    <row r="618" spans="11:15" ht="12.75" x14ac:dyDescent="0.2">
      <c r="K618" s="6"/>
      <c r="L618" s="6"/>
      <c r="O618" s="4" t="str">
        <f ca="1">IFERROR(__xludf.DUMMYFUNCTION("TEXTJOIN("","", TRUE, FILTER($E$2:$E1000 &amp; $C$2:$C1000, $A$2:$A1000=A618, $B$2:$B1000=B618, $D$2:$D1000&lt;&gt;D618))"),"#N/A")</f>
        <v>#N/A</v>
      </c>
    </row>
    <row r="619" spans="11:15" ht="12.75" x14ac:dyDescent="0.2">
      <c r="K619" s="6"/>
      <c r="L619" s="6"/>
      <c r="O619" s="4" t="str">
        <f ca="1">IFERROR(__xludf.DUMMYFUNCTION("TEXTJOIN("","", TRUE, FILTER($E$2:$E1000 &amp; $C$2:$C1000, $A$2:$A1000=A619, $B$2:$B1000=B619, $D$2:$D1000&lt;&gt;D619))"),"#N/A")</f>
        <v>#N/A</v>
      </c>
    </row>
    <row r="620" spans="11:15" ht="12.75" x14ac:dyDescent="0.2">
      <c r="K620" s="6"/>
      <c r="L620" s="6"/>
      <c r="O620" s="4" t="str">
        <f ca="1">IFERROR(__xludf.DUMMYFUNCTION("TEXTJOIN("","", TRUE, FILTER($E$2:$E1000 &amp; $C$2:$C1000, $A$2:$A1000=A620, $B$2:$B1000=B620, $D$2:$D1000&lt;&gt;D620))"),"#N/A")</f>
        <v>#N/A</v>
      </c>
    </row>
    <row r="621" spans="11:15" ht="12.75" x14ac:dyDescent="0.2">
      <c r="K621" s="6"/>
      <c r="L621" s="6"/>
      <c r="O621" s="4" t="str">
        <f ca="1">IFERROR(__xludf.DUMMYFUNCTION("TEXTJOIN("","", TRUE, FILTER($E$2:$E1000 &amp; $C$2:$C1000, $A$2:$A1000=A621, $B$2:$B1000=B621, $D$2:$D1000&lt;&gt;D621))"),"#N/A")</f>
        <v>#N/A</v>
      </c>
    </row>
    <row r="622" spans="11:15" ht="12.75" x14ac:dyDescent="0.2">
      <c r="K622" s="6"/>
      <c r="L622" s="6"/>
      <c r="O622" s="4" t="str">
        <f ca="1">IFERROR(__xludf.DUMMYFUNCTION("TEXTJOIN("","", TRUE, FILTER($E$2:$E1000 &amp; $C$2:$C1000, $A$2:$A1000=A622, $B$2:$B1000=B622, $D$2:$D1000&lt;&gt;D622))"),"#N/A")</f>
        <v>#N/A</v>
      </c>
    </row>
    <row r="623" spans="11:15" ht="12.75" x14ac:dyDescent="0.2">
      <c r="K623" s="6"/>
      <c r="L623" s="6"/>
      <c r="O623" s="4" t="str">
        <f ca="1">IFERROR(__xludf.DUMMYFUNCTION("TEXTJOIN("","", TRUE, FILTER($E$2:$E1000 &amp; $C$2:$C1000, $A$2:$A1000=A623, $B$2:$B1000=B623, $D$2:$D1000&lt;&gt;D623))"),"#N/A")</f>
        <v>#N/A</v>
      </c>
    </row>
    <row r="624" spans="11:15" ht="12.75" x14ac:dyDescent="0.2">
      <c r="K624" s="6"/>
      <c r="L624" s="6"/>
      <c r="O624" s="4" t="str">
        <f ca="1">IFERROR(__xludf.DUMMYFUNCTION("TEXTJOIN("","", TRUE, FILTER($E$2:$E1000 &amp; $C$2:$C1000, $A$2:$A1000=A624, $B$2:$B1000=B624, $D$2:$D1000&lt;&gt;D624))"),"#N/A")</f>
        <v>#N/A</v>
      </c>
    </row>
    <row r="625" spans="11:15" ht="12.75" x14ac:dyDescent="0.2">
      <c r="K625" s="6"/>
      <c r="L625" s="6"/>
      <c r="O625" s="4" t="str">
        <f ca="1">IFERROR(__xludf.DUMMYFUNCTION("TEXTJOIN("","", TRUE, FILTER($E$2:$E1000 &amp; $C$2:$C1000, $A$2:$A1000=A625, $B$2:$B1000=B625, $D$2:$D1000&lt;&gt;D625))"),"#N/A")</f>
        <v>#N/A</v>
      </c>
    </row>
    <row r="626" spans="11:15" ht="12.75" x14ac:dyDescent="0.2">
      <c r="K626" s="6"/>
      <c r="L626" s="6"/>
      <c r="O626" s="4" t="str">
        <f ca="1">IFERROR(__xludf.DUMMYFUNCTION("TEXTJOIN("","", TRUE, FILTER($E$2:$E1000 &amp; $C$2:$C1000, $A$2:$A1000=A626, $B$2:$B1000=B626, $D$2:$D1000&lt;&gt;D626))"),"#N/A")</f>
        <v>#N/A</v>
      </c>
    </row>
    <row r="627" spans="11:15" ht="12.75" x14ac:dyDescent="0.2">
      <c r="K627" s="6"/>
      <c r="L627" s="6"/>
      <c r="O627" s="4" t="str">
        <f ca="1">IFERROR(__xludf.DUMMYFUNCTION("TEXTJOIN("","", TRUE, FILTER($E$2:$E1000 &amp; $C$2:$C1000, $A$2:$A1000=A627, $B$2:$B1000=B627, $D$2:$D1000&lt;&gt;D627))"),"#N/A")</f>
        <v>#N/A</v>
      </c>
    </row>
    <row r="628" spans="11:15" ht="12.75" x14ac:dyDescent="0.2">
      <c r="K628" s="6"/>
      <c r="L628" s="6"/>
      <c r="O628" s="4" t="str">
        <f ca="1">IFERROR(__xludf.DUMMYFUNCTION("TEXTJOIN("","", TRUE, FILTER($E$2:$E1000 &amp; $C$2:$C1000, $A$2:$A1000=A628, $B$2:$B1000=B628, $D$2:$D1000&lt;&gt;D628))"),"#N/A")</f>
        <v>#N/A</v>
      </c>
    </row>
    <row r="629" spans="11:15" ht="12.75" x14ac:dyDescent="0.2">
      <c r="K629" s="6"/>
      <c r="L629" s="6"/>
      <c r="O629" s="4" t="str">
        <f ca="1">IFERROR(__xludf.DUMMYFUNCTION("TEXTJOIN("","", TRUE, FILTER($E$2:$E1000 &amp; $C$2:$C1000, $A$2:$A1000=A629, $B$2:$B1000=B629, $D$2:$D1000&lt;&gt;D629))"),"#N/A")</f>
        <v>#N/A</v>
      </c>
    </row>
    <row r="630" spans="11:15" ht="12.75" x14ac:dyDescent="0.2">
      <c r="K630" s="6"/>
      <c r="L630" s="6"/>
      <c r="O630" s="4" t="str">
        <f ca="1">IFERROR(__xludf.DUMMYFUNCTION("TEXTJOIN("","", TRUE, FILTER($E$2:$E1000 &amp; $C$2:$C1000, $A$2:$A1000=A630, $B$2:$B1000=B630, $D$2:$D1000&lt;&gt;D630))"),"#N/A")</f>
        <v>#N/A</v>
      </c>
    </row>
    <row r="631" spans="11:15" ht="12.75" x14ac:dyDescent="0.2">
      <c r="K631" s="6"/>
      <c r="L631" s="6"/>
      <c r="O631" s="4" t="str">
        <f ca="1">IFERROR(__xludf.DUMMYFUNCTION("TEXTJOIN("","", TRUE, FILTER($E$2:$E1000 &amp; $C$2:$C1000, $A$2:$A1000=A631, $B$2:$B1000=B631, $D$2:$D1000&lt;&gt;D631))"),"#N/A")</f>
        <v>#N/A</v>
      </c>
    </row>
    <row r="632" spans="11:15" ht="12.75" x14ac:dyDescent="0.2">
      <c r="K632" s="6"/>
      <c r="L632" s="6"/>
      <c r="O632" s="4" t="str">
        <f ca="1">IFERROR(__xludf.DUMMYFUNCTION("TEXTJOIN("","", TRUE, FILTER($E$2:$E1000 &amp; $C$2:$C1000, $A$2:$A1000=A632, $B$2:$B1000=B632, $D$2:$D1000&lt;&gt;D632))"),"#N/A")</f>
        <v>#N/A</v>
      </c>
    </row>
    <row r="633" spans="11:15" ht="12.75" x14ac:dyDescent="0.2">
      <c r="K633" s="6"/>
      <c r="L633" s="6"/>
      <c r="O633" s="4" t="str">
        <f ca="1">IFERROR(__xludf.DUMMYFUNCTION("TEXTJOIN("","", TRUE, FILTER($E$2:$E1000 &amp; $C$2:$C1000, $A$2:$A1000=A633, $B$2:$B1000=B633, $D$2:$D1000&lt;&gt;D633))"),"#N/A")</f>
        <v>#N/A</v>
      </c>
    </row>
    <row r="634" spans="11:15" ht="12.75" x14ac:dyDescent="0.2">
      <c r="K634" s="6"/>
      <c r="L634" s="6"/>
      <c r="O634" s="4" t="str">
        <f ca="1">IFERROR(__xludf.DUMMYFUNCTION("TEXTJOIN("","", TRUE, FILTER($E$2:$E1000 &amp; $C$2:$C1000, $A$2:$A1000=A634, $B$2:$B1000=B634, $D$2:$D1000&lt;&gt;D634))"),"#N/A")</f>
        <v>#N/A</v>
      </c>
    </row>
    <row r="635" spans="11:15" ht="12.75" x14ac:dyDescent="0.2">
      <c r="K635" s="6"/>
      <c r="L635" s="6"/>
      <c r="O635" s="4" t="str">
        <f ca="1">IFERROR(__xludf.DUMMYFUNCTION("TEXTJOIN("","", TRUE, FILTER($E$2:$E1000 &amp; $C$2:$C1000, $A$2:$A1000=A635, $B$2:$B1000=B635, $D$2:$D1000&lt;&gt;D635))"),"#N/A")</f>
        <v>#N/A</v>
      </c>
    </row>
    <row r="636" spans="11:15" ht="12.75" x14ac:dyDescent="0.2">
      <c r="K636" s="6"/>
      <c r="L636" s="6"/>
      <c r="O636" s="4" t="str">
        <f ca="1">IFERROR(__xludf.DUMMYFUNCTION("TEXTJOIN("","", TRUE, FILTER($E$2:$E1000 &amp; $C$2:$C1000, $A$2:$A1000=A636, $B$2:$B1000=B636, $D$2:$D1000&lt;&gt;D636))"),"#N/A")</f>
        <v>#N/A</v>
      </c>
    </row>
    <row r="637" spans="11:15" ht="12.75" x14ac:dyDescent="0.2">
      <c r="K637" s="6"/>
      <c r="L637" s="6"/>
      <c r="O637" s="4" t="str">
        <f ca="1">IFERROR(__xludf.DUMMYFUNCTION("TEXTJOIN("","", TRUE, FILTER($E$2:$E1000 &amp; $C$2:$C1000, $A$2:$A1000=A637, $B$2:$B1000=B637, $D$2:$D1000&lt;&gt;D637))"),"#N/A")</f>
        <v>#N/A</v>
      </c>
    </row>
    <row r="638" spans="11:15" ht="12.75" x14ac:dyDescent="0.2">
      <c r="K638" s="6"/>
      <c r="L638" s="6"/>
      <c r="O638" s="4" t="str">
        <f ca="1">IFERROR(__xludf.DUMMYFUNCTION("TEXTJOIN("","", TRUE, FILTER($E$2:$E1000 &amp; $C$2:$C1000, $A$2:$A1000=A638, $B$2:$B1000=B638, $D$2:$D1000&lt;&gt;D638))"),"#N/A")</f>
        <v>#N/A</v>
      </c>
    </row>
    <row r="639" spans="11:15" ht="12.75" x14ac:dyDescent="0.2">
      <c r="K639" s="6"/>
      <c r="L639" s="6"/>
      <c r="O639" s="4" t="str">
        <f ca="1">IFERROR(__xludf.DUMMYFUNCTION("TEXTJOIN("","", TRUE, FILTER($E$2:$E1000 &amp; $C$2:$C1000, $A$2:$A1000=A639, $B$2:$B1000=B639, $D$2:$D1000&lt;&gt;D639))"),"#N/A")</f>
        <v>#N/A</v>
      </c>
    </row>
    <row r="640" spans="11:15" ht="12.75" x14ac:dyDescent="0.2">
      <c r="K640" s="6"/>
      <c r="L640" s="6"/>
      <c r="O640" s="4" t="str">
        <f ca="1">IFERROR(__xludf.DUMMYFUNCTION("TEXTJOIN("","", TRUE, FILTER($E$2:$E1000 &amp; $C$2:$C1000, $A$2:$A1000=A640, $B$2:$B1000=B640, $D$2:$D1000&lt;&gt;D640))"),"#N/A")</f>
        <v>#N/A</v>
      </c>
    </row>
    <row r="641" spans="11:15" ht="12.75" x14ac:dyDescent="0.2">
      <c r="K641" s="6"/>
      <c r="L641" s="6"/>
      <c r="O641" s="4" t="str">
        <f ca="1">IFERROR(__xludf.DUMMYFUNCTION("TEXTJOIN("","", TRUE, FILTER($E$2:$E1000 &amp; $C$2:$C1000, $A$2:$A1000=A641, $B$2:$B1000=B641, $D$2:$D1000&lt;&gt;D641))"),"#N/A")</f>
        <v>#N/A</v>
      </c>
    </row>
    <row r="642" spans="11:15" ht="12.75" x14ac:dyDescent="0.2">
      <c r="K642" s="6"/>
      <c r="L642" s="6"/>
      <c r="O642" s="4" t="str">
        <f ca="1">IFERROR(__xludf.DUMMYFUNCTION("TEXTJOIN("","", TRUE, FILTER($E$2:$E1000 &amp; $C$2:$C1000, $A$2:$A1000=A642, $B$2:$B1000=B642, $D$2:$D1000&lt;&gt;D642))"),"#N/A")</f>
        <v>#N/A</v>
      </c>
    </row>
    <row r="643" spans="11:15" ht="12.75" x14ac:dyDescent="0.2">
      <c r="K643" s="6"/>
      <c r="L643" s="6"/>
      <c r="O643" s="4" t="str">
        <f ca="1">IFERROR(__xludf.DUMMYFUNCTION("TEXTJOIN("","", TRUE, FILTER($E$2:$E1000 &amp; $C$2:$C1000, $A$2:$A1000=A643, $B$2:$B1000=B643, $D$2:$D1000&lt;&gt;D643))"),"#N/A")</f>
        <v>#N/A</v>
      </c>
    </row>
    <row r="644" spans="11:15" ht="12.75" x14ac:dyDescent="0.2">
      <c r="K644" s="6"/>
      <c r="L644" s="6"/>
      <c r="O644" s="4" t="str">
        <f ca="1">IFERROR(__xludf.DUMMYFUNCTION("TEXTJOIN("","", TRUE, FILTER($E$2:$E1000 &amp; $C$2:$C1000, $A$2:$A1000=A644, $B$2:$B1000=B644, $D$2:$D1000&lt;&gt;D644))"),"#N/A")</f>
        <v>#N/A</v>
      </c>
    </row>
    <row r="645" spans="11:15" ht="12.75" x14ac:dyDescent="0.2">
      <c r="K645" s="6"/>
      <c r="L645" s="6"/>
      <c r="O645" s="4" t="str">
        <f ca="1">IFERROR(__xludf.DUMMYFUNCTION("TEXTJOIN("","", TRUE, FILTER($E$2:$E1000 &amp; $C$2:$C1000, $A$2:$A1000=A645, $B$2:$B1000=B645, $D$2:$D1000&lt;&gt;D645))"),"#N/A")</f>
        <v>#N/A</v>
      </c>
    </row>
    <row r="646" spans="11:15" ht="12.75" x14ac:dyDescent="0.2">
      <c r="K646" s="6"/>
      <c r="L646" s="6"/>
      <c r="O646" s="4" t="str">
        <f ca="1">IFERROR(__xludf.DUMMYFUNCTION("TEXTJOIN("","", TRUE, FILTER($E$2:$E1000 &amp; $C$2:$C1000, $A$2:$A1000=A646, $B$2:$B1000=B646, $D$2:$D1000&lt;&gt;D646))"),"#N/A")</f>
        <v>#N/A</v>
      </c>
    </row>
    <row r="647" spans="11:15" ht="12.75" x14ac:dyDescent="0.2">
      <c r="K647" s="6"/>
      <c r="L647" s="6"/>
      <c r="O647" s="4" t="str">
        <f ca="1">IFERROR(__xludf.DUMMYFUNCTION("TEXTJOIN("","", TRUE, FILTER($E$2:$E1000 &amp; $C$2:$C1000, $A$2:$A1000=A647, $B$2:$B1000=B647, $D$2:$D1000&lt;&gt;D647))"),"#N/A")</f>
        <v>#N/A</v>
      </c>
    </row>
    <row r="648" spans="11:15" ht="12.75" x14ac:dyDescent="0.2">
      <c r="K648" s="6"/>
      <c r="L648" s="6"/>
      <c r="O648" s="4" t="str">
        <f ca="1">IFERROR(__xludf.DUMMYFUNCTION("TEXTJOIN("","", TRUE, FILTER($E$2:$E1000 &amp; $C$2:$C1000, $A$2:$A1000=A648, $B$2:$B1000=B648, $D$2:$D1000&lt;&gt;D648))"),"#N/A")</f>
        <v>#N/A</v>
      </c>
    </row>
    <row r="649" spans="11:15" ht="12.75" x14ac:dyDescent="0.2">
      <c r="K649" s="6"/>
      <c r="L649" s="6"/>
      <c r="O649" s="4" t="str">
        <f ca="1">IFERROR(__xludf.DUMMYFUNCTION("TEXTJOIN("","", TRUE, FILTER($E$2:$E1000 &amp; $C$2:$C1000, $A$2:$A1000=A649, $B$2:$B1000=B649, $D$2:$D1000&lt;&gt;D649))"),"#N/A")</f>
        <v>#N/A</v>
      </c>
    </row>
    <row r="650" spans="11:15" ht="12.75" x14ac:dyDescent="0.2">
      <c r="K650" s="6"/>
      <c r="L650" s="6"/>
      <c r="O650" s="4" t="str">
        <f ca="1">IFERROR(__xludf.DUMMYFUNCTION("TEXTJOIN("","", TRUE, FILTER($E$2:$E1000 &amp; $C$2:$C1000, $A$2:$A1000=A650, $B$2:$B1000=B650, $D$2:$D1000&lt;&gt;D650))"),"#N/A")</f>
        <v>#N/A</v>
      </c>
    </row>
    <row r="651" spans="11:15" ht="12.75" x14ac:dyDescent="0.2">
      <c r="K651" s="6"/>
      <c r="L651" s="6"/>
      <c r="O651" s="4" t="str">
        <f ca="1">IFERROR(__xludf.DUMMYFUNCTION("TEXTJOIN("","", TRUE, FILTER($E$2:$E1000 &amp; $C$2:$C1000, $A$2:$A1000=A651, $B$2:$B1000=B651, $D$2:$D1000&lt;&gt;D651))"),"#N/A")</f>
        <v>#N/A</v>
      </c>
    </row>
    <row r="652" spans="11:15" ht="12.75" x14ac:dyDescent="0.2">
      <c r="K652" s="6"/>
      <c r="L652" s="6"/>
      <c r="O652" s="4" t="str">
        <f ca="1">IFERROR(__xludf.DUMMYFUNCTION("TEXTJOIN("","", TRUE, FILTER($E$2:$E1000 &amp; $C$2:$C1000, $A$2:$A1000=A652, $B$2:$B1000=B652, $D$2:$D1000&lt;&gt;D652))"),"#N/A")</f>
        <v>#N/A</v>
      </c>
    </row>
    <row r="653" spans="11:15" ht="12.75" x14ac:dyDescent="0.2">
      <c r="K653" s="6"/>
      <c r="L653" s="6"/>
      <c r="O653" s="4" t="str">
        <f ca="1">IFERROR(__xludf.DUMMYFUNCTION("TEXTJOIN("","", TRUE, FILTER($E$2:$E1000 &amp; $C$2:$C1000, $A$2:$A1000=A653, $B$2:$B1000=B653, $D$2:$D1000&lt;&gt;D653))"),"#N/A")</f>
        <v>#N/A</v>
      </c>
    </row>
    <row r="654" spans="11:15" ht="12.75" x14ac:dyDescent="0.2">
      <c r="K654" s="6"/>
      <c r="L654" s="6"/>
      <c r="O654" s="4" t="str">
        <f ca="1">IFERROR(__xludf.DUMMYFUNCTION("TEXTJOIN("","", TRUE, FILTER($E$2:$E1000 &amp; $C$2:$C1000, $A$2:$A1000=A654, $B$2:$B1000=B654, $D$2:$D1000&lt;&gt;D654))"),"#N/A")</f>
        <v>#N/A</v>
      </c>
    </row>
    <row r="655" spans="11:15" ht="12.75" x14ac:dyDescent="0.2">
      <c r="K655" s="6"/>
      <c r="L655" s="6"/>
      <c r="O655" s="4" t="str">
        <f ca="1">IFERROR(__xludf.DUMMYFUNCTION("TEXTJOIN("","", TRUE, FILTER($E$2:$E1000 &amp; $C$2:$C1000, $A$2:$A1000=A655, $B$2:$B1000=B655, $D$2:$D1000&lt;&gt;D655))"),"#N/A")</f>
        <v>#N/A</v>
      </c>
    </row>
    <row r="656" spans="11:15" ht="12.75" x14ac:dyDescent="0.2">
      <c r="K656" s="6"/>
      <c r="L656" s="6"/>
      <c r="O656" s="4" t="str">
        <f ca="1">IFERROR(__xludf.DUMMYFUNCTION("TEXTJOIN("","", TRUE, FILTER($E$2:$E1000 &amp; $C$2:$C1000, $A$2:$A1000=A656, $B$2:$B1000=B656, $D$2:$D1000&lt;&gt;D656))"),"#N/A")</f>
        <v>#N/A</v>
      </c>
    </row>
    <row r="657" spans="11:15" ht="12.75" x14ac:dyDescent="0.2">
      <c r="K657" s="6"/>
      <c r="L657" s="6"/>
      <c r="O657" s="4" t="str">
        <f ca="1">IFERROR(__xludf.DUMMYFUNCTION("TEXTJOIN("","", TRUE, FILTER($E$2:$E1000 &amp; $C$2:$C1000, $A$2:$A1000=A657, $B$2:$B1000=B657, $D$2:$D1000&lt;&gt;D657))"),"#N/A")</f>
        <v>#N/A</v>
      </c>
    </row>
    <row r="658" spans="11:15" ht="12.75" x14ac:dyDescent="0.2">
      <c r="K658" s="6"/>
      <c r="L658" s="6"/>
      <c r="O658" s="4" t="str">
        <f ca="1">IFERROR(__xludf.DUMMYFUNCTION("TEXTJOIN("","", TRUE, FILTER($E$2:$E1000 &amp; $C$2:$C1000, $A$2:$A1000=A658, $B$2:$B1000=B658, $D$2:$D1000&lt;&gt;D658))"),"#N/A")</f>
        <v>#N/A</v>
      </c>
    </row>
    <row r="659" spans="11:15" ht="12.75" x14ac:dyDescent="0.2">
      <c r="K659" s="6"/>
      <c r="L659" s="6"/>
      <c r="O659" s="4" t="str">
        <f ca="1">IFERROR(__xludf.DUMMYFUNCTION("TEXTJOIN("","", TRUE, FILTER($E$2:$E1000 &amp; $C$2:$C1000, $A$2:$A1000=A659, $B$2:$B1000=B659, $D$2:$D1000&lt;&gt;D659))"),"#N/A")</f>
        <v>#N/A</v>
      </c>
    </row>
    <row r="660" spans="11:15" ht="12.75" x14ac:dyDescent="0.2">
      <c r="K660" s="6"/>
      <c r="L660" s="6"/>
      <c r="O660" s="4" t="str">
        <f ca="1">IFERROR(__xludf.DUMMYFUNCTION("TEXTJOIN("","", TRUE, FILTER($E$2:$E1000 &amp; $C$2:$C1000, $A$2:$A1000=A660, $B$2:$B1000=B660, $D$2:$D1000&lt;&gt;D660))"),"#N/A")</f>
        <v>#N/A</v>
      </c>
    </row>
    <row r="661" spans="11:15" ht="12.75" x14ac:dyDescent="0.2">
      <c r="K661" s="6"/>
      <c r="L661" s="6"/>
      <c r="O661" s="4" t="str">
        <f ca="1">IFERROR(__xludf.DUMMYFUNCTION("TEXTJOIN("","", TRUE, FILTER($E$2:$E1000 &amp; $C$2:$C1000, $A$2:$A1000=A661, $B$2:$B1000=B661, $D$2:$D1000&lt;&gt;D661))"),"#N/A")</f>
        <v>#N/A</v>
      </c>
    </row>
    <row r="662" spans="11:15" ht="12.75" x14ac:dyDescent="0.2">
      <c r="K662" s="6"/>
      <c r="L662" s="6"/>
      <c r="O662" s="4" t="str">
        <f ca="1">IFERROR(__xludf.DUMMYFUNCTION("TEXTJOIN("","", TRUE, FILTER($E$2:$E1000 &amp; $C$2:$C1000, $A$2:$A1000=A662, $B$2:$B1000=B662, $D$2:$D1000&lt;&gt;D662))"),"#N/A")</f>
        <v>#N/A</v>
      </c>
    </row>
    <row r="663" spans="11:15" ht="12.75" x14ac:dyDescent="0.2">
      <c r="K663" s="6"/>
      <c r="L663" s="6"/>
      <c r="O663" s="4" t="str">
        <f ca="1">IFERROR(__xludf.DUMMYFUNCTION("TEXTJOIN("","", TRUE, FILTER($E$2:$E1000 &amp; $C$2:$C1000, $A$2:$A1000=A663, $B$2:$B1000=B663, $D$2:$D1000&lt;&gt;D663))"),"#N/A")</f>
        <v>#N/A</v>
      </c>
    </row>
    <row r="664" spans="11:15" ht="12.75" x14ac:dyDescent="0.2">
      <c r="K664" s="6"/>
      <c r="L664" s="6"/>
      <c r="O664" s="4" t="str">
        <f ca="1">IFERROR(__xludf.DUMMYFUNCTION("TEXTJOIN("","", TRUE, FILTER($E$2:$E1000 &amp; $C$2:$C1000, $A$2:$A1000=A664, $B$2:$B1000=B664, $D$2:$D1000&lt;&gt;D664))"),"#N/A")</f>
        <v>#N/A</v>
      </c>
    </row>
    <row r="665" spans="11:15" ht="12.75" x14ac:dyDescent="0.2">
      <c r="K665" s="6"/>
      <c r="L665" s="6"/>
      <c r="O665" s="4" t="str">
        <f ca="1">IFERROR(__xludf.DUMMYFUNCTION("TEXTJOIN("","", TRUE, FILTER($E$2:$E1000 &amp; $C$2:$C1000, $A$2:$A1000=A665, $B$2:$B1000=B665, $D$2:$D1000&lt;&gt;D665))"),"#N/A")</f>
        <v>#N/A</v>
      </c>
    </row>
    <row r="666" spans="11:15" ht="12.75" x14ac:dyDescent="0.2">
      <c r="K666" s="6"/>
      <c r="L666" s="6"/>
      <c r="O666" s="4" t="str">
        <f ca="1">IFERROR(__xludf.DUMMYFUNCTION("TEXTJOIN("","", TRUE, FILTER($E$2:$E1000 &amp; $C$2:$C1000, $A$2:$A1000=A666, $B$2:$B1000=B666, $D$2:$D1000&lt;&gt;D666))"),"#N/A")</f>
        <v>#N/A</v>
      </c>
    </row>
    <row r="667" spans="11:15" ht="12.75" x14ac:dyDescent="0.2">
      <c r="K667" s="6"/>
      <c r="L667" s="6"/>
      <c r="O667" s="4" t="str">
        <f ca="1">IFERROR(__xludf.DUMMYFUNCTION("TEXTJOIN("","", TRUE, FILTER($E$2:$E1000 &amp; $C$2:$C1000, $A$2:$A1000=A667, $B$2:$B1000=B667, $D$2:$D1000&lt;&gt;D667))"),"#N/A")</f>
        <v>#N/A</v>
      </c>
    </row>
    <row r="668" spans="11:15" ht="12.75" x14ac:dyDescent="0.2">
      <c r="K668" s="6"/>
      <c r="L668" s="6"/>
      <c r="O668" s="4" t="str">
        <f ca="1">IFERROR(__xludf.DUMMYFUNCTION("TEXTJOIN("","", TRUE, FILTER($E$2:$E1000 &amp; $C$2:$C1000, $A$2:$A1000=A668, $B$2:$B1000=B668, $D$2:$D1000&lt;&gt;D668))"),"#N/A")</f>
        <v>#N/A</v>
      </c>
    </row>
    <row r="669" spans="11:15" ht="12.75" x14ac:dyDescent="0.2">
      <c r="K669" s="6"/>
      <c r="L669" s="6"/>
      <c r="O669" s="4" t="str">
        <f ca="1">IFERROR(__xludf.DUMMYFUNCTION("TEXTJOIN("","", TRUE, FILTER($E$2:$E1000 &amp; $C$2:$C1000, $A$2:$A1000=A669, $B$2:$B1000=B669, $D$2:$D1000&lt;&gt;D669))"),"#N/A")</f>
        <v>#N/A</v>
      </c>
    </row>
    <row r="670" spans="11:15" ht="12.75" x14ac:dyDescent="0.2">
      <c r="K670" s="6"/>
      <c r="L670" s="6"/>
      <c r="O670" s="4" t="str">
        <f ca="1">IFERROR(__xludf.DUMMYFUNCTION("TEXTJOIN("","", TRUE, FILTER($E$2:$E1000 &amp; $C$2:$C1000, $A$2:$A1000=A670, $B$2:$B1000=B670, $D$2:$D1000&lt;&gt;D670))"),"#N/A")</f>
        <v>#N/A</v>
      </c>
    </row>
    <row r="671" spans="11:15" ht="12.75" x14ac:dyDescent="0.2">
      <c r="K671" s="6"/>
      <c r="L671" s="6"/>
      <c r="O671" s="4" t="str">
        <f ca="1">IFERROR(__xludf.DUMMYFUNCTION("TEXTJOIN("","", TRUE, FILTER($E$2:$E1000 &amp; $C$2:$C1000, $A$2:$A1000=A671, $B$2:$B1000=B671, $D$2:$D1000&lt;&gt;D671))"),"#N/A")</f>
        <v>#N/A</v>
      </c>
    </row>
    <row r="672" spans="11:15" ht="12.75" x14ac:dyDescent="0.2">
      <c r="K672" s="6"/>
      <c r="L672" s="6"/>
      <c r="O672" s="4" t="str">
        <f ca="1">IFERROR(__xludf.DUMMYFUNCTION("TEXTJOIN("","", TRUE, FILTER($E$2:$E1000 &amp; $C$2:$C1000, $A$2:$A1000=A672, $B$2:$B1000=B672, $D$2:$D1000&lt;&gt;D672))"),"#N/A")</f>
        <v>#N/A</v>
      </c>
    </row>
    <row r="673" spans="11:15" ht="12.75" x14ac:dyDescent="0.2">
      <c r="K673" s="6"/>
      <c r="L673" s="6"/>
      <c r="O673" s="4" t="str">
        <f ca="1">IFERROR(__xludf.DUMMYFUNCTION("TEXTJOIN("","", TRUE, FILTER($E$2:$E1000 &amp; $C$2:$C1000, $A$2:$A1000=A673, $B$2:$B1000=B673, $D$2:$D1000&lt;&gt;D673))"),"#N/A")</f>
        <v>#N/A</v>
      </c>
    </row>
    <row r="674" spans="11:15" ht="12.75" x14ac:dyDescent="0.2">
      <c r="K674" s="6"/>
      <c r="L674" s="6"/>
      <c r="O674" s="4" t="str">
        <f ca="1">IFERROR(__xludf.DUMMYFUNCTION("TEXTJOIN("","", TRUE, FILTER($E$2:$E1000 &amp; $C$2:$C1000, $A$2:$A1000=A674, $B$2:$B1000=B674, $D$2:$D1000&lt;&gt;D674))"),"#N/A")</f>
        <v>#N/A</v>
      </c>
    </row>
    <row r="675" spans="11:15" ht="12.75" x14ac:dyDescent="0.2">
      <c r="K675" s="6"/>
      <c r="L675" s="6"/>
      <c r="O675" s="4" t="str">
        <f ca="1">IFERROR(__xludf.DUMMYFUNCTION("TEXTJOIN("","", TRUE, FILTER($E$2:$E1000 &amp; $C$2:$C1000, $A$2:$A1000=A675, $B$2:$B1000=B675, $D$2:$D1000&lt;&gt;D675))"),"#N/A")</f>
        <v>#N/A</v>
      </c>
    </row>
    <row r="676" spans="11:15" ht="12.75" x14ac:dyDescent="0.2">
      <c r="K676" s="6"/>
      <c r="L676" s="6"/>
      <c r="O676" s="4" t="str">
        <f ca="1">IFERROR(__xludf.DUMMYFUNCTION("TEXTJOIN("","", TRUE, FILTER($E$2:$E1000 &amp; $C$2:$C1000, $A$2:$A1000=A676, $B$2:$B1000=B676, $D$2:$D1000&lt;&gt;D676))"),"#N/A")</f>
        <v>#N/A</v>
      </c>
    </row>
    <row r="677" spans="11:15" ht="12.75" x14ac:dyDescent="0.2">
      <c r="K677" s="6"/>
      <c r="L677" s="6"/>
      <c r="O677" s="4" t="str">
        <f ca="1">IFERROR(__xludf.DUMMYFUNCTION("TEXTJOIN("","", TRUE, FILTER($E$2:$E1000 &amp; $C$2:$C1000, $A$2:$A1000=A677, $B$2:$B1000=B677, $D$2:$D1000&lt;&gt;D677))"),"#N/A")</f>
        <v>#N/A</v>
      </c>
    </row>
    <row r="678" spans="11:15" ht="12.75" x14ac:dyDescent="0.2">
      <c r="K678" s="6"/>
      <c r="L678" s="6"/>
      <c r="O678" s="4" t="str">
        <f ca="1">IFERROR(__xludf.DUMMYFUNCTION("TEXTJOIN("","", TRUE, FILTER($E$2:$E1000 &amp; $C$2:$C1000, $A$2:$A1000=A678, $B$2:$B1000=B678, $D$2:$D1000&lt;&gt;D678))"),"#N/A")</f>
        <v>#N/A</v>
      </c>
    </row>
    <row r="679" spans="11:15" ht="12.75" x14ac:dyDescent="0.2">
      <c r="K679" s="6"/>
      <c r="L679" s="6"/>
      <c r="O679" s="4" t="str">
        <f ca="1">IFERROR(__xludf.DUMMYFUNCTION("TEXTJOIN("","", TRUE, FILTER($E$2:$E1000 &amp; $C$2:$C1000, $A$2:$A1000=A679, $B$2:$B1000=B679, $D$2:$D1000&lt;&gt;D679))"),"#N/A")</f>
        <v>#N/A</v>
      </c>
    </row>
    <row r="680" spans="11:15" ht="12.75" x14ac:dyDescent="0.2">
      <c r="K680" s="6"/>
      <c r="L680" s="6"/>
      <c r="O680" s="4" t="str">
        <f ca="1">IFERROR(__xludf.DUMMYFUNCTION("TEXTJOIN("","", TRUE, FILTER($E$2:$E1000 &amp; $C$2:$C1000, $A$2:$A1000=A680, $B$2:$B1000=B680, $D$2:$D1000&lt;&gt;D680))"),"#N/A")</f>
        <v>#N/A</v>
      </c>
    </row>
    <row r="681" spans="11:15" ht="12.75" x14ac:dyDescent="0.2">
      <c r="K681" s="6"/>
      <c r="L681" s="6"/>
      <c r="O681" s="4" t="str">
        <f ca="1">IFERROR(__xludf.DUMMYFUNCTION("TEXTJOIN("","", TRUE, FILTER($E$2:$E1000 &amp; $C$2:$C1000, $A$2:$A1000=A681, $B$2:$B1000=B681, $D$2:$D1000&lt;&gt;D681))"),"#N/A")</f>
        <v>#N/A</v>
      </c>
    </row>
    <row r="682" spans="11:15" ht="12.75" x14ac:dyDescent="0.2">
      <c r="K682" s="6"/>
      <c r="L682" s="6"/>
      <c r="O682" s="4" t="str">
        <f ca="1">IFERROR(__xludf.DUMMYFUNCTION("TEXTJOIN("","", TRUE, FILTER($E$2:$E1000 &amp; $C$2:$C1000, $A$2:$A1000=A682, $B$2:$B1000=B682, $D$2:$D1000&lt;&gt;D682))"),"#N/A")</f>
        <v>#N/A</v>
      </c>
    </row>
    <row r="683" spans="11:15" ht="12.75" x14ac:dyDescent="0.2">
      <c r="K683" s="6"/>
      <c r="L683" s="6"/>
      <c r="O683" s="4" t="str">
        <f ca="1">IFERROR(__xludf.DUMMYFUNCTION("TEXTJOIN("","", TRUE, FILTER($E$2:$E1000 &amp; $C$2:$C1000, $A$2:$A1000=A683, $B$2:$B1000=B683, $D$2:$D1000&lt;&gt;D683))"),"#N/A")</f>
        <v>#N/A</v>
      </c>
    </row>
    <row r="684" spans="11:15" ht="12.75" x14ac:dyDescent="0.2">
      <c r="K684" s="6"/>
      <c r="L684" s="6"/>
      <c r="O684" s="4" t="str">
        <f ca="1">IFERROR(__xludf.DUMMYFUNCTION("TEXTJOIN("","", TRUE, FILTER($E$2:$E1000 &amp; $C$2:$C1000, $A$2:$A1000=A684, $B$2:$B1000=B684, $D$2:$D1000&lt;&gt;D684))"),"#N/A")</f>
        <v>#N/A</v>
      </c>
    </row>
    <row r="685" spans="11:15" ht="12.75" x14ac:dyDescent="0.2">
      <c r="K685" s="6"/>
      <c r="L685" s="6"/>
      <c r="O685" s="4" t="str">
        <f ca="1">IFERROR(__xludf.DUMMYFUNCTION("TEXTJOIN("","", TRUE, FILTER($E$2:$E1000 &amp; $C$2:$C1000, $A$2:$A1000=A685, $B$2:$B1000=B685, $D$2:$D1000&lt;&gt;D685))"),"#N/A")</f>
        <v>#N/A</v>
      </c>
    </row>
    <row r="686" spans="11:15" ht="12.75" x14ac:dyDescent="0.2">
      <c r="K686" s="6"/>
      <c r="L686" s="6"/>
      <c r="O686" s="4" t="str">
        <f ca="1">IFERROR(__xludf.DUMMYFUNCTION("TEXTJOIN("","", TRUE, FILTER($E$2:$E1000 &amp; $C$2:$C1000, $A$2:$A1000=A686, $B$2:$B1000=B686, $D$2:$D1000&lt;&gt;D686))"),"#N/A")</f>
        <v>#N/A</v>
      </c>
    </row>
    <row r="687" spans="11:15" ht="12.75" x14ac:dyDescent="0.2">
      <c r="K687" s="6"/>
      <c r="L687" s="6"/>
      <c r="O687" s="4" t="str">
        <f ca="1">IFERROR(__xludf.DUMMYFUNCTION("TEXTJOIN("","", TRUE, FILTER($E$2:$E1000 &amp; $C$2:$C1000, $A$2:$A1000=A687, $B$2:$B1000=B687, $D$2:$D1000&lt;&gt;D687))"),"#N/A")</f>
        <v>#N/A</v>
      </c>
    </row>
    <row r="688" spans="11:15" ht="12.75" x14ac:dyDescent="0.2">
      <c r="K688" s="6"/>
      <c r="L688" s="6"/>
      <c r="O688" s="4" t="str">
        <f ca="1">IFERROR(__xludf.DUMMYFUNCTION("TEXTJOIN("","", TRUE, FILTER($E$2:$E1000 &amp; $C$2:$C1000, $A$2:$A1000=A688, $B$2:$B1000=B688, $D$2:$D1000&lt;&gt;D688))"),"#N/A")</f>
        <v>#N/A</v>
      </c>
    </row>
    <row r="689" spans="11:15" ht="12.75" x14ac:dyDescent="0.2">
      <c r="K689" s="6"/>
      <c r="L689" s="6"/>
      <c r="O689" s="4" t="str">
        <f ca="1">IFERROR(__xludf.DUMMYFUNCTION("TEXTJOIN("","", TRUE, FILTER($E$2:$E1000 &amp; $C$2:$C1000, $A$2:$A1000=A689, $B$2:$B1000=B689, $D$2:$D1000&lt;&gt;D689))"),"#N/A")</f>
        <v>#N/A</v>
      </c>
    </row>
    <row r="690" spans="11:15" ht="12.75" x14ac:dyDescent="0.2">
      <c r="K690" s="6"/>
      <c r="L690" s="6"/>
      <c r="O690" s="4" t="str">
        <f ca="1">IFERROR(__xludf.DUMMYFUNCTION("TEXTJOIN("","", TRUE, FILTER($E$2:$E1000 &amp; $C$2:$C1000, $A$2:$A1000=A690, $B$2:$B1000=B690, $D$2:$D1000&lt;&gt;D690))"),"#N/A")</f>
        <v>#N/A</v>
      </c>
    </row>
    <row r="691" spans="11:15" ht="12.75" x14ac:dyDescent="0.2">
      <c r="K691" s="6"/>
      <c r="L691" s="6"/>
      <c r="O691" s="4" t="str">
        <f ca="1">IFERROR(__xludf.DUMMYFUNCTION("TEXTJOIN("","", TRUE, FILTER($E$2:$E1000 &amp; $C$2:$C1000, $A$2:$A1000=A691, $B$2:$B1000=B691, $D$2:$D1000&lt;&gt;D691))"),"#N/A")</f>
        <v>#N/A</v>
      </c>
    </row>
    <row r="692" spans="11:15" ht="12.75" x14ac:dyDescent="0.2">
      <c r="K692" s="6"/>
      <c r="L692" s="6"/>
      <c r="O692" s="4" t="str">
        <f ca="1">IFERROR(__xludf.DUMMYFUNCTION("TEXTJOIN("","", TRUE, FILTER($E$2:$E1000 &amp; $C$2:$C1000, $A$2:$A1000=A692, $B$2:$B1000=B692, $D$2:$D1000&lt;&gt;D692))"),"#N/A")</f>
        <v>#N/A</v>
      </c>
    </row>
    <row r="693" spans="11:15" ht="12.75" x14ac:dyDescent="0.2">
      <c r="K693" s="6"/>
      <c r="L693" s="6"/>
      <c r="O693" s="4" t="str">
        <f ca="1">IFERROR(__xludf.DUMMYFUNCTION("TEXTJOIN("","", TRUE, FILTER($E$2:$E1000 &amp; $C$2:$C1000, $A$2:$A1000=A693, $B$2:$B1000=B693, $D$2:$D1000&lt;&gt;D693))"),"#N/A")</f>
        <v>#N/A</v>
      </c>
    </row>
    <row r="694" spans="11:15" ht="12.75" x14ac:dyDescent="0.2">
      <c r="K694" s="6"/>
      <c r="L694" s="6"/>
      <c r="O694" s="4" t="str">
        <f ca="1">IFERROR(__xludf.DUMMYFUNCTION("TEXTJOIN("","", TRUE, FILTER($E$2:$E1000 &amp; $C$2:$C1000, $A$2:$A1000=A694, $B$2:$B1000=B694, $D$2:$D1000&lt;&gt;D694))"),"#N/A")</f>
        <v>#N/A</v>
      </c>
    </row>
    <row r="695" spans="11:15" ht="12.75" x14ac:dyDescent="0.2">
      <c r="K695" s="6"/>
      <c r="L695" s="6"/>
      <c r="O695" s="4" t="str">
        <f ca="1">IFERROR(__xludf.DUMMYFUNCTION("TEXTJOIN("","", TRUE, FILTER($E$2:$E1000 &amp; $C$2:$C1000, $A$2:$A1000=A695, $B$2:$B1000=B695, $D$2:$D1000&lt;&gt;D695))"),"#N/A")</f>
        <v>#N/A</v>
      </c>
    </row>
    <row r="696" spans="11:15" ht="12.75" x14ac:dyDescent="0.2">
      <c r="K696" s="6"/>
      <c r="L696" s="6"/>
      <c r="O696" s="4" t="str">
        <f ca="1">IFERROR(__xludf.DUMMYFUNCTION("TEXTJOIN("","", TRUE, FILTER($E$2:$E1000 &amp; $C$2:$C1000, $A$2:$A1000=A696, $B$2:$B1000=B696, $D$2:$D1000&lt;&gt;D696))"),"#N/A")</f>
        <v>#N/A</v>
      </c>
    </row>
    <row r="697" spans="11:15" ht="12.75" x14ac:dyDescent="0.2">
      <c r="K697" s="6"/>
      <c r="L697" s="6"/>
      <c r="O697" s="4" t="str">
        <f ca="1">IFERROR(__xludf.DUMMYFUNCTION("TEXTJOIN("","", TRUE, FILTER($E$2:$E1000 &amp; $C$2:$C1000, $A$2:$A1000=A697, $B$2:$B1000=B697, $D$2:$D1000&lt;&gt;D697))"),"#N/A")</f>
        <v>#N/A</v>
      </c>
    </row>
    <row r="698" spans="11:15" ht="12.75" x14ac:dyDescent="0.2">
      <c r="K698" s="6"/>
      <c r="L698" s="6"/>
      <c r="O698" s="4" t="str">
        <f ca="1">IFERROR(__xludf.DUMMYFUNCTION("TEXTJOIN("","", TRUE, FILTER($E$2:$E1000 &amp; $C$2:$C1000, $A$2:$A1000=A698, $B$2:$B1000=B698, $D$2:$D1000&lt;&gt;D698))"),"#N/A")</f>
        <v>#N/A</v>
      </c>
    </row>
    <row r="699" spans="11:15" ht="12.75" x14ac:dyDescent="0.2">
      <c r="K699" s="6"/>
      <c r="L699" s="6"/>
      <c r="O699" s="4" t="str">
        <f ca="1">IFERROR(__xludf.DUMMYFUNCTION("TEXTJOIN("","", TRUE, FILTER($E$2:$E1000 &amp; $C$2:$C1000, $A$2:$A1000=A699, $B$2:$B1000=B699, $D$2:$D1000&lt;&gt;D699))"),"#N/A")</f>
        <v>#N/A</v>
      </c>
    </row>
    <row r="700" spans="11:15" ht="12.75" x14ac:dyDescent="0.2">
      <c r="K700" s="6"/>
      <c r="L700" s="6"/>
      <c r="O700" s="4" t="str">
        <f ca="1">IFERROR(__xludf.DUMMYFUNCTION("TEXTJOIN("","", TRUE, FILTER($E$2:$E1000 &amp; $C$2:$C1000, $A$2:$A1000=A700, $B$2:$B1000=B700, $D$2:$D1000&lt;&gt;D700))"),"#N/A")</f>
        <v>#N/A</v>
      </c>
    </row>
    <row r="701" spans="11:15" ht="12.75" x14ac:dyDescent="0.2">
      <c r="K701" s="6"/>
      <c r="L701" s="6"/>
      <c r="O701" s="4" t="str">
        <f ca="1">IFERROR(__xludf.DUMMYFUNCTION("TEXTJOIN("","", TRUE, FILTER($E$2:$E1000 &amp; $C$2:$C1000, $A$2:$A1000=A701, $B$2:$B1000=B701, $D$2:$D1000&lt;&gt;D701))"),"#N/A")</f>
        <v>#N/A</v>
      </c>
    </row>
    <row r="702" spans="11:15" ht="12.75" x14ac:dyDescent="0.2">
      <c r="K702" s="6"/>
      <c r="L702" s="6"/>
      <c r="O702" s="4" t="str">
        <f ca="1">IFERROR(__xludf.DUMMYFUNCTION("TEXTJOIN("","", TRUE, FILTER($E$2:$E1000 &amp; $C$2:$C1000, $A$2:$A1000=A702, $B$2:$B1000=B702, $D$2:$D1000&lt;&gt;D702))"),"#N/A")</f>
        <v>#N/A</v>
      </c>
    </row>
    <row r="703" spans="11:15" ht="12.75" x14ac:dyDescent="0.2">
      <c r="K703" s="6"/>
      <c r="L703" s="6"/>
      <c r="O703" s="4" t="str">
        <f ca="1">IFERROR(__xludf.DUMMYFUNCTION("TEXTJOIN("","", TRUE, FILTER($E$2:$E1000 &amp; $C$2:$C1000, $A$2:$A1000=A703, $B$2:$B1000=B703, $D$2:$D1000&lt;&gt;D703))"),"#N/A")</f>
        <v>#N/A</v>
      </c>
    </row>
    <row r="704" spans="11:15" ht="12.75" x14ac:dyDescent="0.2">
      <c r="K704" s="6"/>
      <c r="L704" s="6"/>
      <c r="O704" s="4" t="str">
        <f ca="1">IFERROR(__xludf.DUMMYFUNCTION("TEXTJOIN("","", TRUE, FILTER($E$2:$E1000 &amp; $C$2:$C1000, $A$2:$A1000=A704, $B$2:$B1000=B704, $D$2:$D1000&lt;&gt;D704))"),"#N/A")</f>
        <v>#N/A</v>
      </c>
    </row>
    <row r="705" spans="11:15" ht="12.75" x14ac:dyDescent="0.2">
      <c r="K705" s="6"/>
      <c r="L705" s="6"/>
      <c r="O705" s="4" t="str">
        <f ca="1">IFERROR(__xludf.DUMMYFUNCTION("TEXTJOIN("","", TRUE, FILTER($E$2:$E1000 &amp; $C$2:$C1000, $A$2:$A1000=A705, $B$2:$B1000=B705, $D$2:$D1000&lt;&gt;D705))"),"#N/A")</f>
        <v>#N/A</v>
      </c>
    </row>
    <row r="706" spans="11:15" ht="12.75" x14ac:dyDescent="0.2">
      <c r="K706" s="6"/>
      <c r="L706" s="6"/>
      <c r="O706" s="4" t="str">
        <f ca="1">IFERROR(__xludf.DUMMYFUNCTION("TEXTJOIN("","", TRUE, FILTER($E$2:$E1000 &amp; $C$2:$C1000, $A$2:$A1000=A706, $B$2:$B1000=B706, $D$2:$D1000&lt;&gt;D706))"),"#N/A")</f>
        <v>#N/A</v>
      </c>
    </row>
    <row r="707" spans="11:15" ht="12.75" x14ac:dyDescent="0.2">
      <c r="K707" s="6"/>
      <c r="L707" s="6"/>
      <c r="O707" s="4" t="str">
        <f ca="1">IFERROR(__xludf.DUMMYFUNCTION("TEXTJOIN("","", TRUE, FILTER($E$2:$E1000 &amp; $C$2:$C1000, $A$2:$A1000=A707, $B$2:$B1000=B707, $D$2:$D1000&lt;&gt;D707))"),"#N/A")</f>
        <v>#N/A</v>
      </c>
    </row>
    <row r="708" spans="11:15" ht="12.75" x14ac:dyDescent="0.2">
      <c r="K708" s="6"/>
      <c r="L708" s="6"/>
      <c r="O708" s="4" t="str">
        <f ca="1">IFERROR(__xludf.DUMMYFUNCTION("TEXTJOIN("","", TRUE, FILTER($E$2:$E1000 &amp; $C$2:$C1000, $A$2:$A1000=A708, $B$2:$B1000=B708, $D$2:$D1000&lt;&gt;D708))"),"#N/A")</f>
        <v>#N/A</v>
      </c>
    </row>
    <row r="709" spans="11:15" ht="12.75" x14ac:dyDescent="0.2">
      <c r="K709" s="6"/>
      <c r="L709" s="6"/>
      <c r="O709" s="4" t="str">
        <f ca="1">IFERROR(__xludf.DUMMYFUNCTION("TEXTJOIN("","", TRUE, FILTER($E$2:$E1000 &amp; $C$2:$C1000, $A$2:$A1000=A709, $B$2:$B1000=B709, $D$2:$D1000&lt;&gt;D709))"),"#N/A")</f>
        <v>#N/A</v>
      </c>
    </row>
    <row r="710" spans="11:15" ht="12.75" x14ac:dyDescent="0.2">
      <c r="K710" s="6"/>
      <c r="L710" s="6"/>
      <c r="O710" s="4" t="str">
        <f ca="1">IFERROR(__xludf.DUMMYFUNCTION("TEXTJOIN("","", TRUE, FILTER($E$2:$E1000 &amp; $C$2:$C1000, $A$2:$A1000=A710, $B$2:$B1000=B710, $D$2:$D1000&lt;&gt;D710))"),"#N/A")</f>
        <v>#N/A</v>
      </c>
    </row>
    <row r="711" spans="11:15" ht="12.75" x14ac:dyDescent="0.2">
      <c r="K711" s="6"/>
      <c r="L711" s="6"/>
      <c r="O711" s="4" t="str">
        <f ca="1">IFERROR(__xludf.DUMMYFUNCTION("TEXTJOIN("","", TRUE, FILTER($E$2:$E1000 &amp; $C$2:$C1000, $A$2:$A1000=A711, $B$2:$B1000=B711, $D$2:$D1000&lt;&gt;D711))"),"#N/A")</f>
        <v>#N/A</v>
      </c>
    </row>
    <row r="712" spans="11:15" ht="12.75" x14ac:dyDescent="0.2">
      <c r="K712" s="6"/>
      <c r="L712" s="6"/>
      <c r="O712" s="4" t="str">
        <f ca="1">IFERROR(__xludf.DUMMYFUNCTION("TEXTJOIN("","", TRUE, FILTER($E$2:$E1000 &amp; $C$2:$C1000, $A$2:$A1000=A712, $B$2:$B1000=B712, $D$2:$D1000&lt;&gt;D712))"),"#N/A")</f>
        <v>#N/A</v>
      </c>
    </row>
    <row r="713" spans="11:15" ht="12.75" x14ac:dyDescent="0.2">
      <c r="K713" s="6"/>
      <c r="L713" s="6"/>
      <c r="O713" s="4" t="str">
        <f ca="1">IFERROR(__xludf.DUMMYFUNCTION("TEXTJOIN("","", TRUE, FILTER($E$2:$E1000 &amp; $C$2:$C1000, $A$2:$A1000=A713, $B$2:$B1000=B713, $D$2:$D1000&lt;&gt;D713))"),"#N/A")</f>
        <v>#N/A</v>
      </c>
    </row>
    <row r="714" spans="11:15" ht="12.75" x14ac:dyDescent="0.2">
      <c r="K714" s="6"/>
      <c r="L714" s="6"/>
      <c r="O714" s="4" t="str">
        <f ca="1">IFERROR(__xludf.DUMMYFUNCTION("TEXTJOIN("","", TRUE, FILTER($E$2:$E1000 &amp; $C$2:$C1000, $A$2:$A1000=A714, $B$2:$B1000=B714, $D$2:$D1000&lt;&gt;D714))"),"#N/A")</f>
        <v>#N/A</v>
      </c>
    </row>
    <row r="715" spans="11:15" ht="12.75" x14ac:dyDescent="0.2">
      <c r="K715" s="6"/>
      <c r="L715" s="6"/>
      <c r="O715" s="4" t="str">
        <f ca="1">IFERROR(__xludf.DUMMYFUNCTION("TEXTJOIN("","", TRUE, FILTER($E$2:$E1000 &amp; $C$2:$C1000, $A$2:$A1000=A715, $B$2:$B1000=B715, $D$2:$D1000&lt;&gt;D715))"),"#N/A")</f>
        <v>#N/A</v>
      </c>
    </row>
    <row r="716" spans="11:15" ht="12.75" x14ac:dyDescent="0.2">
      <c r="K716" s="6"/>
      <c r="L716" s="6"/>
      <c r="O716" s="4" t="str">
        <f ca="1">IFERROR(__xludf.DUMMYFUNCTION("TEXTJOIN("","", TRUE, FILTER($E$2:$E1000 &amp; $C$2:$C1000, $A$2:$A1000=A716, $B$2:$B1000=B716, $D$2:$D1000&lt;&gt;D716))"),"#N/A")</f>
        <v>#N/A</v>
      </c>
    </row>
    <row r="717" spans="11:15" ht="12.75" x14ac:dyDescent="0.2">
      <c r="K717" s="6"/>
      <c r="L717" s="6"/>
      <c r="O717" s="4" t="str">
        <f ca="1">IFERROR(__xludf.DUMMYFUNCTION("TEXTJOIN("","", TRUE, FILTER($E$2:$E1000 &amp; $C$2:$C1000, $A$2:$A1000=A717, $B$2:$B1000=B717, $D$2:$D1000&lt;&gt;D717))"),"#N/A")</f>
        <v>#N/A</v>
      </c>
    </row>
    <row r="718" spans="11:15" ht="12.75" x14ac:dyDescent="0.2">
      <c r="K718" s="6"/>
      <c r="L718" s="6"/>
      <c r="O718" s="4" t="str">
        <f ca="1">IFERROR(__xludf.DUMMYFUNCTION("TEXTJOIN("","", TRUE, FILTER($E$2:$E1000 &amp; $C$2:$C1000, $A$2:$A1000=A718, $B$2:$B1000=B718, $D$2:$D1000&lt;&gt;D718))"),"#N/A")</f>
        <v>#N/A</v>
      </c>
    </row>
    <row r="719" spans="11:15" ht="12.75" x14ac:dyDescent="0.2">
      <c r="K719" s="6"/>
      <c r="L719" s="6"/>
      <c r="O719" s="4" t="str">
        <f ca="1">IFERROR(__xludf.DUMMYFUNCTION("TEXTJOIN("","", TRUE, FILTER($E$2:$E1000 &amp; $C$2:$C1000, $A$2:$A1000=A719, $B$2:$B1000=B719, $D$2:$D1000&lt;&gt;D719))"),"#N/A")</f>
        <v>#N/A</v>
      </c>
    </row>
    <row r="720" spans="11:15" ht="12.75" x14ac:dyDescent="0.2">
      <c r="K720" s="6"/>
      <c r="L720" s="6"/>
      <c r="O720" s="4" t="str">
        <f ca="1">IFERROR(__xludf.DUMMYFUNCTION("TEXTJOIN("","", TRUE, FILTER($E$2:$E1000 &amp; $C$2:$C1000, $A$2:$A1000=A720, $B$2:$B1000=B720, $D$2:$D1000&lt;&gt;D720))"),"#N/A")</f>
        <v>#N/A</v>
      </c>
    </row>
    <row r="721" spans="11:15" ht="12.75" x14ac:dyDescent="0.2">
      <c r="K721" s="6"/>
      <c r="L721" s="6"/>
      <c r="O721" s="4" t="str">
        <f ca="1">IFERROR(__xludf.DUMMYFUNCTION("TEXTJOIN("","", TRUE, FILTER($E$2:$E1000 &amp; $C$2:$C1000, $A$2:$A1000=A721, $B$2:$B1000=B721, $D$2:$D1000&lt;&gt;D721))"),"#N/A")</f>
        <v>#N/A</v>
      </c>
    </row>
    <row r="722" spans="11:15" ht="12.75" x14ac:dyDescent="0.2">
      <c r="K722" s="6"/>
      <c r="L722" s="6"/>
      <c r="O722" s="4" t="str">
        <f ca="1">IFERROR(__xludf.DUMMYFUNCTION("TEXTJOIN("","", TRUE, FILTER($E$2:$E1000 &amp; $C$2:$C1000, $A$2:$A1000=A722, $B$2:$B1000=B722, $D$2:$D1000&lt;&gt;D722))"),"#N/A")</f>
        <v>#N/A</v>
      </c>
    </row>
    <row r="723" spans="11:15" ht="12.75" x14ac:dyDescent="0.2">
      <c r="K723" s="6"/>
      <c r="L723" s="6"/>
      <c r="O723" s="4" t="str">
        <f ca="1">IFERROR(__xludf.DUMMYFUNCTION("TEXTJOIN("","", TRUE, FILTER($E$2:$E1000 &amp; $C$2:$C1000, $A$2:$A1000=A723, $B$2:$B1000=B723, $D$2:$D1000&lt;&gt;D723))"),"#N/A")</f>
        <v>#N/A</v>
      </c>
    </row>
    <row r="724" spans="11:15" ht="12.75" x14ac:dyDescent="0.2">
      <c r="K724" s="6"/>
      <c r="L724" s="6"/>
      <c r="O724" s="4" t="str">
        <f ca="1">IFERROR(__xludf.DUMMYFUNCTION("TEXTJOIN("","", TRUE, FILTER($E$2:$E1000 &amp; $C$2:$C1000, $A$2:$A1000=A724, $B$2:$B1000=B724, $D$2:$D1000&lt;&gt;D724))"),"#N/A")</f>
        <v>#N/A</v>
      </c>
    </row>
    <row r="725" spans="11:15" ht="12.75" x14ac:dyDescent="0.2">
      <c r="K725" s="6"/>
      <c r="L725" s="6"/>
      <c r="O725" s="4" t="str">
        <f ca="1">IFERROR(__xludf.DUMMYFUNCTION("TEXTJOIN("","", TRUE, FILTER($E$2:$E1000 &amp; $C$2:$C1000, $A$2:$A1000=A725, $B$2:$B1000=B725, $D$2:$D1000&lt;&gt;D725))"),"#N/A")</f>
        <v>#N/A</v>
      </c>
    </row>
    <row r="726" spans="11:15" ht="12.75" x14ac:dyDescent="0.2">
      <c r="K726" s="6"/>
      <c r="L726" s="6"/>
      <c r="O726" s="4" t="str">
        <f ca="1">IFERROR(__xludf.DUMMYFUNCTION("TEXTJOIN("","", TRUE, FILTER($E$2:$E1000 &amp; $C$2:$C1000, $A$2:$A1000=A726, $B$2:$B1000=B726, $D$2:$D1000&lt;&gt;D726))"),"#N/A")</f>
        <v>#N/A</v>
      </c>
    </row>
    <row r="727" spans="11:15" ht="12.75" x14ac:dyDescent="0.2">
      <c r="K727" s="6"/>
      <c r="L727" s="6"/>
      <c r="O727" s="4" t="str">
        <f ca="1">IFERROR(__xludf.DUMMYFUNCTION("TEXTJOIN("","", TRUE, FILTER($E$2:$E1000 &amp; $C$2:$C1000, $A$2:$A1000=A727, $B$2:$B1000=B727, $D$2:$D1000&lt;&gt;D727))"),"#N/A")</f>
        <v>#N/A</v>
      </c>
    </row>
    <row r="728" spans="11:15" ht="12.75" x14ac:dyDescent="0.2">
      <c r="K728" s="6"/>
      <c r="L728" s="6"/>
      <c r="O728" s="4" t="str">
        <f ca="1">IFERROR(__xludf.DUMMYFUNCTION("TEXTJOIN("","", TRUE, FILTER($E$2:$E1000 &amp; $C$2:$C1000, $A$2:$A1000=A728, $B$2:$B1000=B728, $D$2:$D1000&lt;&gt;D728))"),"#N/A")</f>
        <v>#N/A</v>
      </c>
    </row>
    <row r="729" spans="11:15" ht="12.75" x14ac:dyDescent="0.2">
      <c r="K729" s="6"/>
      <c r="L729" s="6"/>
      <c r="O729" s="4" t="str">
        <f ca="1">IFERROR(__xludf.DUMMYFUNCTION("TEXTJOIN("","", TRUE, FILTER($E$2:$E1000 &amp; $C$2:$C1000, $A$2:$A1000=A729, $B$2:$B1000=B729, $D$2:$D1000&lt;&gt;D729))"),"#N/A")</f>
        <v>#N/A</v>
      </c>
    </row>
    <row r="730" spans="11:15" ht="12.75" x14ac:dyDescent="0.2">
      <c r="K730" s="6"/>
      <c r="L730" s="6"/>
      <c r="O730" s="4" t="str">
        <f ca="1">IFERROR(__xludf.DUMMYFUNCTION("TEXTJOIN("","", TRUE, FILTER($E$2:$E1000 &amp; $C$2:$C1000, $A$2:$A1000=A730, $B$2:$B1000=B730, $D$2:$D1000&lt;&gt;D730))"),"#N/A")</f>
        <v>#N/A</v>
      </c>
    </row>
    <row r="731" spans="11:15" ht="12.75" x14ac:dyDescent="0.2">
      <c r="K731" s="6"/>
      <c r="L731" s="6"/>
      <c r="O731" s="4" t="str">
        <f ca="1">IFERROR(__xludf.DUMMYFUNCTION("TEXTJOIN("","", TRUE, FILTER($E$2:$E1000 &amp; $C$2:$C1000, $A$2:$A1000=A731, $B$2:$B1000=B731, $D$2:$D1000&lt;&gt;D731))"),"#N/A")</f>
        <v>#N/A</v>
      </c>
    </row>
    <row r="732" spans="11:15" ht="12.75" x14ac:dyDescent="0.2">
      <c r="K732" s="6"/>
      <c r="L732" s="6"/>
      <c r="O732" s="4" t="str">
        <f ca="1">IFERROR(__xludf.DUMMYFUNCTION("TEXTJOIN("","", TRUE, FILTER($E$2:$E1000 &amp; $C$2:$C1000, $A$2:$A1000=A732, $B$2:$B1000=B732, $D$2:$D1000&lt;&gt;D732))"),"#N/A")</f>
        <v>#N/A</v>
      </c>
    </row>
    <row r="733" spans="11:15" ht="12.75" x14ac:dyDescent="0.2">
      <c r="K733" s="6"/>
      <c r="L733" s="6"/>
      <c r="O733" s="4" t="str">
        <f ca="1">IFERROR(__xludf.DUMMYFUNCTION("TEXTJOIN("","", TRUE, FILTER($E$2:$E1000 &amp; $C$2:$C1000, $A$2:$A1000=A733, $B$2:$B1000=B733, $D$2:$D1000&lt;&gt;D733))"),"#N/A")</f>
        <v>#N/A</v>
      </c>
    </row>
    <row r="734" spans="11:15" ht="12.75" x14ac:dyDescent="0.2">
      <c r="K734" s="6"/>
      <c r="L734" s="6"/>
      <c r="O734" s="4" t="str">
        <f ca="1">IFERROR(__xludf.DUMMYFUNCTION("TEXTJOIN("","", TRUE, FILTER($E$2:$E1000 &amp; $C$2:$C1000, $A$2:$A1000=A734, $B$2:$B1000=B734, $D$2:$D1000&lt;&gt;D734))"),"#N/A")</f>
        <v>#N/A</v>
      </c>
    </row>
    <row r="735" spans="11:15" ht="12.75" x14ac:dyDescent="0.2">
      <c r="K735" s="6"/>
      <c r="L735" s="6"/>
      <c r="O735" s="4" t="str">
        <f ca="1">IFERROR(__xludf.DUMMYFUNCTION("TEXTJOIN("","", TRUE, FILTER($E$2:$E1000 &amp; $C$2:$C1000, $A$2:$A1000=A735, $B$2:$B1000=B735, $D$2:$D1000&lt;&gt;D735))"),"#N/A")</f>
        <v>#N/A</v>
      </c>
    </row>
    <row r="736" spans="11:15" ht="12.75" x14ac:dyDescent="0.2">
      <c r="K736" s="6"/>
      <c r="L736" s="6"/>
      <c r="O736" s="4" t="str">
        <f ca="1">IFERROR(__xludf.DUMMYFUNCTION("TEXTJOIN("","", TRUE, FILTER($E$2:$E1000 &amp; $C$2:$C1000, $A$2:$A1000=A736, $B$2:$B1000=B736, $D$2:$D1000&lt;&gt;D736))"),"#N/A")</f>
        <v>#N/A</v>
      </c>
    </row>
    <row r="737" spans="11:15" ht="12.75" x14ac:dyDescent="0.2">
      <c r="K737" s="6"/>
      <c r="L737" s="6"/>
      <c r="O737" s="4" t="str">
        <f ca="1">IFERROR(__xludf.DUMMYFUNCTION("TEXTJOIN("","", TRUE, FILTER($E$2:$E1000 &amp; $C$2:$C1000, $A$2:$A1000=A737, $B$2:$B1000=B737, $D$2:$D1000&lt;&gt;D737))"),"#N/A")</f>
        <v>#N/A</v>
      </c>
    </row>
    <row r="738" spans="11:15" ht="12.75" x14ac:dyDescent="0.2">
      <c r="K738" s="6"/>
      <c r="L738" s="6"/>
      <c r="O738" s="4" t="str">
        <f ca="1">IFERROR(__xludf.DUMMYFUNCTION("TEXTJOIN("","", TRUE, FILTER($E$2:$E1000 &amp; $C$2:$C1000, $A$2:$A1000=A738, $B$2:$B1000=B738, $D$2:$D1000&lt;&gt;D738))"),"#N/A")</f>
        <v>#N/A</v>
      </c>
    </row>
    <row r="739" spans="11:15" ht="12.75" x14ac:dyDescent="0.2">
      <c r="K739" s="6"/>
      <c r="L739" s="6"/>
      <c r="O739" s="4" t="str">
        <f ca="1">IFERROR(__xludf.DUMMYFUNCTION("TEXTJOIN("","", TRUE, FILTER($E$2:$E1000 &amp; $C$2:$C1000, $A$2:$A1000=A739, $B$2:$B1000=B739, $D$2:$D1000&lt;&gt;D739))"),"#N/A")</f>
        <v>#N/A</v>
      </c>
    </row>
    <row r="740" spans="11:15" ht="12.75" x14ac:dyDescent="0.2">
      <c r="K740" s="6"/>
      <c r="L740" s="6"/>
      <c r="O740" s="4" t="str">
        <f ca="1">IFERROR(__xludf.DUMMYFUNCTION("TEXTJOIN("","", TRUE, FILTER($E$2:$E1000 &amp; $C$2:$C1000, $A$2:$A1000=A740, $B$2:$B1000=B740, $D$2:$D1000&lt;&gt;D740))"),"#N/A")</f>
        <v>#N/A</v>
      </c>
    </row>
    <row r="741" spans="11:15" ht="12.75" x14ac:dyDescent="0.2">
      <c r="K741" s="6"/>
      <c r="L741" s="6"/>
      <c r="O741" s="4" t="str">
        <f ca="1">IFERROR(__xludf.DUMMYFUNCTION("TEXTJOIN("","", TRUE, FILTER($E$2:$E1000 &amp; $C$2:$C1000, $A$2:$A1000=A741, $B$2:$B1000=B741, $D$2:$D1000&lt;&gt;D741))"),"#N/A")</f>
        <v>#N/A</v>
      </c>
    </row>
    <row r="742" spans="11:15" ht="12.75" x14ac:dyDescent="0.2">
      <c r="K742" s="6"/>
      <c r="L742" s="6"/>
      <c r="O742" s="4" t="str">
        <f ca="1">IFERROR(__xludf.DUMMYFUNCTION("TEXTJOIN("","", TRUE, FILTER($E$2:$E1000 &amp; $C$2:$C1000, $A$2:$A1000=A742, $B$2:$B1000=B742, $D$2:$D1000&lt;&gt;D742))"),"#N/A")</f>
        <v>#N/A</v>
      </c>
    </row>
    <row r="743" spans="11:15" ht="12.75" x14ac:dyDescent="0.2">
      <c r="K743" s="6"/>
      <c r="L743" s="6"/>
      <c r="O743" s="4" t="str">
        <f ca="1">IFERROR(__xludf.DUMMYFUNCTION("TEXTJOIN("","", TRUE, FILTER($E$2:$E1000 &amp; $C$2:$C1000, $A$2:$A1000=A743, $B$2:$B1000=B743, $D$2:$D1000&lt;&gt;D743))"),"#N/A")</f>
        <v>#N/A</v>
      </c>
    </row>
    <row r="744" spans="11:15" ht="12.75" x14ac:dyDescent="0.2">
      <c r="K744" s="6"/>
      <c r="L744" s="6"/>
      <c r="O744" s="4" t="str">
        <f ca="1">IFERROR(__xludf.DUMMYFUNCTION("TEXTJOIN("","", TRUE, FILTER($E$2:$E1000 &amp; $C$2:$C1000, $A$2:$A1000=A744, $B$2:$B1000=B744, $D$2:$D1000&lt;&gt;D744))"),"#N/A")</f>
        <v>#N/A</v>
      </c>
    </row>
    <row r="745" spans="11:15" ht="12.75" x14ac:dyDescent="0.2">
      <c r="K745" s="6"/>
      <c r="L745" s="6"/>
      <c r="O745" s="4" t="str">
        <f ca="1">IFERROR(__xludf.DUMMYFUNCTION("TEXTJOIN("","", TRUE, FILTER($E$2:$E1000 &amp; $C$2:$C1000, $A$2:$A1000=A745, $B$2:$B1000=B745, $D$2:$D1000&lt;&gt;D745))"),"#N/A")</f>
        <v>#N/A</v>
      </c>
    </row>
    <row r="746" spans="11:15" ht="12.75" x14ac:dyDescent="0.2">
      <c r="K746" s="6"/>
      <c r="L746" s="6"/>
      <c r="O746" s="4" t="str">
        <f ca="1">IFERROR(__xludf.DUMMYFUNCTION("TEXTJOIN("","", TRUE, FILTER($E$2:$E1000 &amp; $C$2:$C1000, $A$2:$A1000=A746, $B$2:$B1000=B746, $D$2:$D1000&lt;&gt;D746))"),"#N/A")</f>
        <v>#N/A</v>
      </c>
    </row>
    <row r="747" spans="11:15" ht="12.75" x14ac:dyDescent="0.2">
      <c r="K747" s="6"/>
      <c r="L747" s="6"/>
      <c r="O747" s="4" t="str">
        <f ca="1">IFERROR(__xludf.DUMMYFUNCTION("TEXTJOIN("","", TRUE, FILTER($E$2:$E1000 &amp; $C$2:$C1000, $A$2:$A1000=A747, $B$2:$B1000=B747, $D$2:$D1000&lt;&gt;D747))"),"#N/A")</f>
        <v>#N/A</v>
      </c>
    </row>
    <row r="748" spans="11:15" ht="12.75" x14ac:dyDescent="0.2">
      <c r="K748" s="6"/>
      <c r="L748" s="6"/>
      <c r="O748" s="4" t="str">
        <f ca="1">IFERROR(__xludf.DUMMYFUNCTION("TEXTJOIN("","", TRUE, FILTER($E$2:$E1000 &amp; $C$2:$C1000, $A$2:$A1000=A748, $B$2:$B1000=B748, $D$2:$D1000&lt;&gt;D748))"),"#N/A")</f>
        <v>#N/A</v>
      </c>
    </row>
    <row r="749" spans="11:15" ht="12.75" x14ac:dyDescent="0.2">
      <c r="K749" s="6"/>
      <c r="L749" s="6"/>
      <c r="O749" s="4" t="str">
        <f ca="1">IFERROR(__xludf.DUMMYFUNCTION("TEXTJOIN("","", TRUE, FILTER($E$2:$E1000 &amp; $C$2:$C1000, $A$2:$A1000=A749, $B$2:$B1000=B749, $D$2:$D1000&lt;&gt;D749))"),"#N/A")</f>
        <v>#N/A</v>
      </c>
    </row>
    <row r="750" spans="11:15" ht="12.75" x14ac:dyDescent="0.2">
      <c r="K750" s="6"/>
      <c r="L750" s="6"/>
      <c r="O750" s="4" t="str">
        <f ca="1">IFERROR(__xludf.DUMMYFUNCTION("TEXTJOIN("","", TRUE, FILTER($E$2:$E1000 &amp; $C$2:$C1000, $A$2:$A1000=A750, $B$2:$B1000=B750, $D$2:$D1000&lt;&gt;D750))"),"#N/A")</f>
        <v>#N/A</v>
      </c>
    </row>
    <row r="751" spans="11:15" ht="12.75" x14ac:dyDescent="0.2">
      <c r="K751" s="6"/>
      <c r="L751" s="6"/>
      <c r="O751" s="4" t="str">
        <f ca="1">IFERROR(__xludf.DUMMYFUNCTION("TEXTJOIN("","", TRUE, FILTER($E$2:$E1000 &amp; $C$2:$C1000, $A$2:$A1000=A751, $B$2:$B1000=B751, $D$2:$D1000&lt;&gt;D751))"),"#N/A")</f>
        <v>#N/A</v>
      </c>
    </row>
    <row r="752" spans="11:15" ht="12.75" x14ac:dyDescent="0.2">
      <c r="K752" s="6"/>
      <c r="L752" s="6"/>
      <c r="O752" s="4" t="str">
        <f ca="1">IFERROR(__xludf.DUMMYFUNCTION("TEXTJOIN("","", TRUE, FILTER($E$2:$E1000 &amp; $C$2:$C1000, $A$2:$A1000=A752, $B$2:$B1000=B752, $D$2:$D1000&lt;&gt;D752))"),"#N/A")</f>
        <v>#N/A</v>
      </c>
    </row>
    <row r="753" spans="11:15" ht="12.75" x14ac:dyDescent="0.2">
      <c r="K753" s="6"/>
      <c r="L753" s="6"/>
      <c r="O753" s="4" t="str">
        <f ca="1">IFERROR(__xludf.DUMMYFUNCTION("TEXTJOIN("","", TRUE, FILTER($E$2:$E1000 &amp; $C$2:$C1000, $A$2:$A1000=A753, $B$2:$B1000=B753, $D$2:$D1000&lt;&gt;D753))"),"#N/A")</f>
        <v>#N/A</v>
      </c>
    </row>
    <row r="754" spans="11:15" ht="12.75" x14ac:dyDescent="0.2">
      <c r="K754" s="6"/>
      <c r="L754" s="6"/>
      <c r="O754" s="4" t="str">
        <f ca="1">IFERROR(__xludf.DUMMYFUNCTION("TEXTJOIN("","", TRUE, FILTER($E$2:$E1000 &amp; $C$2:$C1000, $A$2:$A1000=A754, $B$2:$B1000=B754, $D$2:$D1000&lt;&gt;D754))"),"#N/A")</f>
        <v>#N/A</v>
      </c>
    </row>
    <row r="755" spans="11:15" ht="12.75" x14ac:dyDescent="0.2">
      <c r="K755" s="6"/>
      <c r="L755" s="6"/>
      <c r="O755" s="4" t="str">
        <f ca="1">IFERROR(__xludf.DUMMYFUNCTION("TEXTJOIN("","", TRUE, FILTER($E$2:$E1000 &amp; $C$2:$C1000, $A$2:$A1000=A755, $B$2:$B1000=B755, $D$2:$D1000&lt;&gt;D755))"),"#N/A")</f>
        <v>#N/A</v>
      </c>
    </row>
    <row r="756" spans="11:15" ht="12.75" x14ac:dyDescent="0.2">
      <c r="K756" s="6"/>
      <c r="L756" s="6"/>
      <c r="O756" s="4" t="str">
        <f ca="1">IFERROR(__xludf.DUMMYFUNCTION("TEXTJOIN("","", TRUE, FILTER($E$2:$E1000 &amp; $C$2:$C1000, $A$2:$A1000=A756, $B$2:$B1000=B756, $D$2:$D1000&lt;&gt;D756))"),"#N/A")</f>
        <v>#N/A</v>
      </c>
    </row>
    <row r="757" spans="11:15" ht="12.75" x14ac:dyDescent="0.2">
      <c r="K757" s="6"/>
      <c r="L757" s="6"/>
      <c r="O757" s="4" t="str">
        <f ca="1">IFERROR(__xludf.DUMMYFUNCTION("TEXTJOIN("","", TRUE, FILTER($E$2:$E1000 &amp; $C$2:$C1000, $A$2:$A1000=A757, $B$2:$B1000=B757, $D$2:$D1000&lt;&gt;D757))"),"#N/A")</f>
        <v>#N/A</v>
      </c>
    </row>
    <row r="758" spans="11:15" ht="12.75" x14ac:dyDescent="0.2">
      <c r="K758" s="6"/>
      <c r="L758" s="6"/>
      <c r="O758" s="4" t="str">
        <f ca="1">IFERROR(__xludf.DUMMYFUNCTION("TEXTJOIN("","", TRUE, FILTER($E$2:$E1000 &amp; $C$2:$C1000, $A$2:$A1000=A758, $B$2:$B1000=B758, $D$2:$D1000&lt;&gt;D758))"),"#N/A")</f>
        <v>#N/A</v>
      </c>
    </row>
    <row r="759" spans="11:15" ht="12.75" x14ac:dyDescent="0.2">
      <c r="K759" s="6"/>
      <c r="L759" s="6"/>
      <c r="O759" s="4" t="str">
        <f ca="1">IFERROR(__xludf.DUMMYFUNCTION("TEXTJOIN("","", TRUE, FILTER($E$2:$E1000 &amp; $C$2:$C1000, $A$2:$A1000=A759, $B$2:$B1000=B759, $D$2:$D1000&lt;&gt;D759))"),"#N/A")</f>
        <v>#N/A</v>
      </c>
    </row>
    <row r="760" spans="11:15" ht="12.75" x14ac:dyDescent="0.2">
      <c r="K760" s="6"/>
      <c r="L760" s="6"/>
      <c r="O760" s="4" t="str">
        <f ca="1">IFERROR(__xludf.DUMMYFUNCTION("TEXTJOIN("","", TRUE, FILTER($E$2:$E1000 &amp; $C$2:$C1000, $A$2:$A1000=A760, $B$2:$B1000=B760, $D$2:$D1000&lt;&gt;D760))"),"#N/A")</f>
        <v>#N/A</v>
      </c>
    </row>
    <row r="761" spans="11:15" ht="12.75" x14ac:dyDescent="0.2">
      <c r="K761" s="6"/>
      <c r="L761" s="6"/>
      <c r="O761" s="4" t="str">
        <f ca="1">IFERROR(__xludf.DUMMYFUNCTION("TEXTJOIN("","", TRUE, FILTER($E$2:$E1000 &amp; $C$2:$C1000, $A$2:$A1000=A761, $B$2:$B1000=B761, $D$2:$D1000&lt;&gt;D761))"),"#N/A")</f>
        <v>#N/A</v>
      </c>
    </row>
    <row r="762" spans="11:15" ht="12.75" x14ac:dyDescent="0.2">
      <c r="K762" s="6"/>
      <c r="L762" s="6"/>
      <c r="O762" s="4" t="str">
        <f ca="1">IFERROR(__xludf.DUMMYFUNCTION("TEXTJOIN("","", TRUE, FILTER($E$2:$E1000 &amp; $C$2:$C1000, $A$2:$A1000=A762, $B$2:$B1000=B762, $D$2:$D1000&lt;&gt;D762))"),"#N/A")</f>
        <v>#N/A</v>
      </c>
    </row>
    <row r="763" spans="11:15" ht="12.75" x14ac:dyDescent="0.2">
      <c r="K763" s="6"/>
      <c r="L763" s="6"/>
      <c r="O763" s="4" t="str">
        <f ca="1">IFERROR(__xludf.DUMMYFUNCTION("TEXTJOIN("","", TRUE, FILTER($E$2:$E1000 &amp; $C$2:$C1000, $A$2:$A1000=A763, $B$2:$B1000=B763, $D$2:$D1000&lt;&gt;D763))"),"#N/A")</f>
        <v>#N/A</v>
      </c>
    </row>
    <row r="764" spans="11:15" ht="12.75" x14ac:dyDescent="0.2">
      <c r="K764" s="6"/>
      <c r="L764" s="6"/>
      <c r="O764" s="4" t="str">
        <f ca="1">IFERROR(__xludf.DUMMYFUNCTION("TEXTJOIN("","", TRUE, FILTER($E$2:$E1000 &amp; $C$2:$C1000, $A$2:$A1000=A764, $B$2:$B1000=B764, $D$2:$D1000&lt;&gt;D764))"),"#N/A")</f>
        <v>#N/A</v>
      </c>
    </row>
    <row r="765" spans="11:15" ht="12.75" x14ac:dyDescent="0.2">
      <c r="K765" s="6"/>
      <c r="L765" s="6"/>
      <c r="O765" s="4" t="str">
        <f ca="1">IFERROR(__xludf.DUMMYFUNCTION("TEXTJOIN("","", TRUE, FILTER($E$2:$E1000 &amp; $C$2:$C1000, $A$2:$A1000=A765, $B$2:$B1000=B765, $D$2:$D1000&lt;&gt;D765))"),"#N/A")</f>
        <v>#N/A</v>
      </c>
    </row>
    <row r="766" spans="11:15" ht="12.75" x14ac:dyDescent="0.2">
      <c r="K766" s="6"/>
      <c r="L766" s="6"/>
      <c r="O766" s="4" t="str">
        <f ca="1">IFERROR(__xludf.DUMMYFUNCTION("TEXTJOIN("","", TRUE, FILTER($E$2:$E1000 &amp; $C$2:$C1000, $A$2:$A1000=A766, $B$2:$B1000=B766, $D$2:$D1000&lt;&gt;D766))"),"#N/A")</f>
        <v>#N/A</v>
      </c>
    </row>
    <row r="767" spans="11:15" ht="12.75" x14ac:dyDescent="0.2">
      <c r="K767" s="6"/>
      <c r="L767" s="6"/>
      <c r="O767" s="4" t="str">
        <f ca="1">IFERROR(__xludf.DUMMYFUNCTION("TEXTJOIN("","", TRUE, FILTER($E$2:$E1000 &amp; $C$2:$C1000, $A$2:$A1000=A767, $B$2:$B1000=B767, $D$2:$D1000&lt;&gt;D767))"),"#N/A")</f>
        <v>#N/A</v>
      </c>
    </row>
    <row r="768" spans="11:15" ht="12.75" x14ac:dyDescent="0.2">
      <c r="K768" s="6"/>
      <c r="L768" s="6"/>
      <c r="O768" s="4" t="str">
        <f ca="1">IFERROR(__xludf.DUMMYFUNCTION("TEXTJOIN("","", TRUE, FILTER($E$2:$E1000 &amp; $C$2:$C1000, $A$2:$A1000=A768, $B$2:$B1000=B768, $D$2:$D1000&lt;&gt;D768))"),"#N/A")</f>
        <v>#N/A</v>
      </c>
    </row>
    <row r="769" spans="11:15" ht="12.75" x14ac:dyDescent="0.2">
      <c r="K769" s="6"/>
      <c r="L769" s="6"/>
      <c r="O769" s="4" t="str">
        <f ca="1">IFERROR(__xludf.DUMMYFUNCTION("TEXTJOIN("","", TRUE, FILTER($E$2:$E1000 &amp; $C$2:$C1000, $A$2:$A1000=A769, $B$2:$B1000=B769, $D$2:$D1000&lt;&gt;D769))"),"#N/A")</f>
        <v>#N/A</v>
      </c>
    </row>
    <row r="770" spans="11:15" ht="12.75" x14ac:dyDescent="0.2">
      <c r="K770" s="6"/>
      <c r="L770" s="6"/>
      <c r="O770" s="4" t="str">
        <f ca="1">IFERROR(__xludf.DUMMYFUNCTION("TEXTJOIN("","", TRUE, FILTER($E$2:$E1000 &amp; $C$2:$C1000, $A$2:$A1000=A770, $B$2:$B1000=B770, $D$2:$D1000&lt;&gt;D770))"),"#N/A")</f>
        <v>#N/A</v>
      </c>
    </row>
    <row r="771" spans="11:15" ht="12.75" x14ac:dyDescent="0.2">
      <c r="K771" s="6"/>
      <c r="L771" s="6"/>
      <c r="O771" s="4" t="str">
        <f ca="1">IFERROR(__xludf.DUMMYFUNCTION("TEXTJOIN("","", TRUE, FILTER($E$2:$E1000 &amp; $C$2:$C1000, $A$2:$A1000=A771, $B$2:$B1000=B771, $D$2:$D1000&lt;&gt;D771))"),"#N/A")</f>
        <v>#N/A</v>
      </c>
    </row>
    <row r="772" spans="11:15" ht="12.75" x14ac:dyDescent="0.2">
      <c r="K772" s="6"/>
      <c r="L772" s="6"/>
      <c r="O772" s="4" t="str">
        <f ca="1">IFERROR(__xludf.DUMMYFUNCTION("TEXTJOIN("","", TRUE, FILTER($E$2:$E1000 &amp; $C$2:$C1000, $A$2:$A1000=A772, $B$2:$B1000=B772, $D$2:$D1000&lt;&gt;D772))"),"#N/A")</f>
        <v>#N/A</v>
      </c>
    </row>
    <row r="773" spans="11:15" ht="12.75" x14ac:dyDescent="0.2">
      <c r="K773" s="6"/>
      <c r="L773" s="6"/>
      <c r="O773" s="4" t="str">
        <f ca="1">IFERROR(__xludf.DUMMYFUNCTION("TEXTJOIN("","", TRUE, FILTER($E$2:$E1000 &amp; $C$2:$C1000, $A$2:$A1000=A773, $B$2:$B1000=B773, $D$2:$D1000&lt;&gt;D773))"),"#N/A")</f>
        <v>#N/A</v>
      </c>
    </row>
    <row r="774" spans="11:15" ht="12.75" x14ac:dyDescent="0.2">
      <c r="K774" s="6"/>
      <c r="L774" s="6"/>
      <c r="O774" s="4" t="str">
        <f ca="1">IFERROR(__xludf.DUMMYFUNCTION("TEXTJOIN("","", TRUE, FILTER($E$2:$E1000 &amp; $C$2:$C1000, $A$2:$A1000=A774, $B$2:$B1000=B774, $D$2:$D1000&lt;&gt;D774))"),"#N/A")</f>
        <v>#N/A</v>
      </c>
    </row>
    <row r="775" spans="11:15" ht="12.75" x14ac:dyDescent="0.2">
      <c r="K775" s="6"/>
      <c r="L775" s="6"/>
      <c r="O775" s="4" t="str">
        <f ca="1">IFERROR(__xludf.DUMMYFUNCTION("TEXTJOIN("","", TRUE, FILTER($E$2:$E1000 &amp; $C$2:$C1000, $A$2:$A1000=A775, $B$2:$B1000=B775, $D$2:$D1000&lt;&gt;D775))"),"#N/A")</f>
        <v>#N/A</v>
      </c>
    </row>
    <row r="776" spans="11:15" ht="12.75" x14ac:dyDescent="0.2">
      <c r="K776" s="6"/>
      <c r="L776" s="6"/>
      <c r="O776" s="4" t="str">
        <f ca="1">IFERROR(__xludf.DUMMYFUNCTION("TEXTJOIN("","", TRUE, FILTER($E$2:$E1000 &amp; $C$2:$C1000, $A$2:$A1000=A776, $B$2:$B1000=B776, $D$2:$D1000&lt;&gt;D776))"),"#N/A")</f>
        <v>#N/A</v>
      </c>
    </row>
    <row r="777" spans="11:15" ht="12.75" x14ac:dyDescent="0.2">
      <c r="K777" s="6"/>
      <c r="L777" s="6"/>
      <c r="O777" s="4" t="str">
        <f ca="1">IFERROR(__xludf.DUMMYFUNCTION("TEXTJOIN("","", TRUE, FILTER($E$2:$E1000 &amp; $C$2:$C1000, $A$2:$A1000=A777, $B$2:$B1000=B777, $D$2:$D1000&lt;&gt;D777))"),"#N/A")</f>
        <v>#N/A</v>
      </c>
    </row>
    <row r="778" spans="11:15" ht="12.75" x14ac:dyDescent="0.2">
      <c r="K778" s="6"/>
      <c r="L778" s="6"/>
      <c r="O778" s="4" t="str">
        <f ca="1">IFERROR(__xludf.DUMMYFUNCTION("TEXTJOIN("","", TRUE, FILTER($E$2:$E1000 &amp; $C$2:$C1000, $A$2:$A1000=A778, $B$2:$B1000=B778, $D$2:$D1000&lt;&gt;D778))"),"#N/A")</f>
        <v>#N/A</v>
      </c>
    </row>
    <row r="779" spans="11:15" ht="12.75" x14ac:dyDescent="0.2">
      <c r="K779" s="6"/>
      <c r="L779" s="6"/>
      <c r="O779" s="4" t="str">
        <f ca="1">IFERROR(__xludf.DUMMYFUNCTION("TEXTJOIN("","", TRUE, FILTER($E$2:$E1000 &amp; $C$2:$C1000, $A$2:$A1000=A779, $B$2:$B1000=B779, $D$2:$D1000&lt;&gt;D779))"),"#N/A")</f>
        <v>#N/A</v>
      </c>
    </row>
    <row r="780" spans="11:15" ht="12.75" x14ac:dyDescent="0.2">
      <c r="K780" s="6"/>
      <c r="L780" s="6"/>
      <c r="O780" s="4" t="str">
        <f ca="1">IFERROR(__xludf.DUMMYFUNCTION("TEXTJOIN("","", TRUE, FILTER($E$2:$E1000 &amp; $C$2:$C1000, $A$2:$A1000=A780, $B$2:$B1000=B780, $D$2:$D1000&lt;&gt;D780))"),"#N/A")</f>
        <v>#N/A</v>
      </c>
    </row>
    <row r="781" spans="11:15" ht="12.75" x14ac:dyDescent="0.2">
      <c r="K781" s="6"/>
      <c r="L781" s="6"/>
      <c r="O781" s="4" t="str">
        <f ca="1">IFERROR(__xludf.DUMMYFUNCTION("TEXTJOIN("","", TRUE, FILTER($E$2:$E1000 &amp; $C$2:$C1000, $A$2:$A1000=A781, $B$2:$B1000=B781, $D$2:$D1000&lt;&gt;D781))"),"#N/A")</f>
        <v>#N/A</v>
      </c>
    </row>
    <row r="782" spans="11:15" ht="12.75" x14ac:dyDescent="0.2">
      <c r="K782" s="6"/>
      <c r="L782" s="6"/>
      <c r="O782" s="4" t="str">
        <f ca="1">IFERROR(__xludf.DUMMYFUNCTION("TEXTJOIN("","", TRUE, FILTER($E$2:$E1000 &amp; $C$2:$C1000, $A$2:$A1000=A782, $B$2:$B1000=B782, $D$2:$D1000&lt;&gt;D782))"),"#N/A")</f>
        <v>#N/A</v>
      </c>
    </row>
    <row r="783" spans="11:15" ht="12.75" x14ac:dyDescent="0.2">
      <c r="K783" s="6"/>
      <c r="L783" s="6"/>
      <c r="O783" s="4" t="str">
        <f ca="1">IFERROR(__xludf.DUMMYFUNCTION("TEXTJOIN("","", TRUE, FILTER($E$2:$E1000 &amp; $C$2:$C1000, $A$2:$A1000=A783, $B$2:$B1000=B783, $D$2:$D1000&lt;&gt;D783))"),"#N/A")</f>
        <v>#N/A</v>
      </c>
    </row>
    <row r="784" spans="11:15" ht="12.75" x14ac:dyDescent="0.2">
      <c r="K784" s="6"/>
      <c r="L784" s="6"/>
      <c r="O784" s="4" t="str">
        <f ca="1">IFERROR(__xludf.DUMMYFUNCTION("TEXTJOIN("","", TRUE, FILTER($E$2:$E1000 &amp; $C$2:$C1000, $A$2:$A1000=A784, $B$2:$B1000=B784, $D$2:$D1000&lt;&gt;D784))"),"#N/A")</f>
        <v>#N/A</v>
      </c>
    </row>
    <row r="785" spans="11:15" ht="12.75" x14ac:dyDescent="0.2">
      <c r="K785" s="6"/>
      <c r="L785" s="6"/>
      <c r="O785" s="4" t="str">
        <f ca="1">IFERROR(__xludf.DUMMYFUNCTION("TEXTJOIN("","", TRUE, FILTER($E$2:$E1000 &amp; $C$2:$C1000, $A$2:$A1000=A785, $B$2:$B1000=B785, $D$2:$D1000&lt;&gt;D785))"),"#N/A")</f>
        <v>#N/A</v>
      </c>
    </row>
    <row r="786" spans="11:15" ht="12.75" x14ac:dyDescent="0.2">
      <c r="K786" s="6"/>
      <c r="L786" s="6"/>
      <c r="O786" s="4" t="str">
        <f ca="1">IFERROR(__xludf.DUMMYFUNCTION("TEXTJOIN("","", TRUE, FILTER($E$2:$E1000 &amp; $C$2:$C1000, $A$2:$A1000=A786, $B$2:$B1000=B786, $D$2:$D1000&lt;&gt;D786))"),"#N/A")</f>
        <v>#N/A</v>
      </c>
    </row>
    <row r="787" spans="11:15" ht="12.75" x14ac:dyDescent="0.2">
      <c r="K787" s="6"/>
      <c r="L787" s="6"/>
      <c r="O787" s="4" t="str">
        <f ca="1">IFERROR(__xludf.DUMMYFUNCTION("TEXTJOIN("","", TRUE, FILTER($E$2:$E1000 &amp; $C$2:$C1000, $A$2:$A1000=A787, $B$2:$B1000=B787, $D$2:$D1000&lt;&gt;D787))"),"#N/A")</f>
        <v>#N/A</v>
      </c>
    </row>
    <row r="788" spans="11:15" ht="12.75" x14ac:dyDescent="0.2">
      <c r="K788" s="6"/>
      <c r="L788" s="6"/>
      <c r="O788" s="4" t="str">
        <f ca="1">IFERROR(__xludf.DUMMYFUNCTION("TEXTJOIN("","", TRUE, FILTER($E$2:$E1000 &amp; $C$2:$C1000, $A$2:$A1000=A788, $B$2:$B1000=B788, $D$2:$D1000&lt;&gt;D788))"),"#N/A")</f>
        <v>#N/A</v>
      </c>
    </row>
    <row r="789" spans="11:15" ht="12.75" x14ac:dyDescent="0.2">
      <c r="K789" s="6"/>
      <c r="L789" s="6"/>
      <c r="O789" s="4" t="str">
        <f ca="1">IFERROR(__xludf.DUMMYFUNCTION("TEXTJOIN("","", TRUE, FILTER($E$2:$E1000 &amp; $C$2:$C1000, $A$2:$A1000=A789, $B$2:$B1000=B789, $D$2:$D1000&lt;&gt;D789))"),"#N/A")</f>
        <v>#N/A</v>
      </c>
    </row>
    <row r="790" spans="11:15" ht="12.75" x14ac:dyDescent="0.2">
      <c r="K790" s="6"/>
      <c r="L790" s="6"/>
      <c r="O790" s="4" t="str">
        <f ca="1">IFERROR(__xludf.DUMMYFUNCTION("TEXTJOIN("","", TRUE, FILTER($E$2:$E1000 &amp; $C$2:$C1000, $A$2:$A1000=A790, $B$2:$B1000=B790, $D$2:$D1000&lt;&gt;D790))"),"#N/A")</f>
        <v>#N/A</v>
      </c>
    </row>
    <row r="791" spans="11:15" ht="12.75" x14ac:dyDescent="0.2">
      <c r="K791" s="6"/>
      <c r="L791" s="6"/>
      <c r="O791" s="4" t="str">
        <f ca="1">IFERROR(__xludf.DUMMYFUNCTION("TEXTJOIN("","", TRUE, FILTER($E$2:$E1000 &amp; $C$2:$C1000, $A$2:$A1000=A791, $B$2:$B1000=B791, $D$2:$D1000&lt;&gt;D791))"),"#N/A")</f>
        <v>#N/A</v>
      </c>
    </row>
    <row r="792" spans="11:15" ht="12.75" x14ac:dyDescent="0.2">
      <c r="K792" s="6"/>
      <c r="L792" s="6"/>
      <c r="O792" s="4" t="str">
        <f ca="1">IFERROR(__xludf.DUMMYFUNCTION("TEXTJOIN("","", TRUE, FILTER($E$2:$E1000 &amp; $C$2:$C1000, $A$2:$A1000=A792, $B$2:$B1000=B792, $D$2:$D1000&lt;&gt;D792))"),"#N/A")</f>
        <v>#N/A</v>
      </c>
    </row>
    <row r="793" spans="11:15" ht="12.75" x14ac:dyDescent="0.2">
      <c r="K793" s="6"/>
      <c r="L793" s="6"/>
      <c r="O793" s="4" t="str">
        <f ca="1">IFERROR(__xludf.DUMMYFUNCTION("TEXTJOIN("","", TRUE, FILTER($E$2:$E1000 &amp; $C$2:$C1000, $A$2:$A1000=A793, $B$2:$B1000=B793, $D$2:$D1000&lt;&gt;D793))"),"#N/A")</f>
        <v>#N/A</v>
      </c>
    </row>
    <row r="794" spans="11:15" ht="12.75" x14ac:dyDescent="0.2">
      <c r="K794" s="6"/>
      <c r="L794" s="6"/>
      <c r="O794" s="4" t="str">
        <f ca="1">IFERROR(__xludf.DUMMYFUNCTION("TEXTJOIN("","", TRUE, FILTER($E$2:$E1000 &amp; $C$2:$C1000, $A$2:$A1000=A794, $B$2:$B1000=B794, $D$2:$D1000&lt;&gt;D794))"),"#N/A")</f>
        <v>#N/A</v>
      </c>
    </row>
    <row r="795" spans="11:15" ht="12.75" x14ac:dyDescent="0.2">
      <c r="K795" s="6"/>
      <c r="L795" s="6"/>
      <c r="O795" s="4" t="str">
        <f ca="1">IFERROR(__xludf.DUMMYFUNCTION("TEXTJOIN("","", TRUE, FILTER($E$2:$E1000 &amp; $C$2:$C1000, $A$2:$A1000=A795, $B$2:$B1000=B795, $D$2:$D1000&lt;&gt;D795))"),"#N/A")</f>
        <v>#N/A</v>
      </c>
    </row>
    <row r="796" spans="11:15" ht="12.75" x14ac:dyDescent="0.2">
      <c r="K796" s="6"/>
      <c r="L796" s="6"/>
      <c r="O796" s="4" t="str">
        <f ca="1">IFERROR(__xludf.DUMMYFUNCTION("TEXTJOIN("","", TRUE, FILTER($E$2:$E1000 &amp; $C$2:$C1000, $A$2:$A1000=A796, $B$2:$B1000=B796, $D$2:$D1000&lt;&gt;D796))"),"#N/A")</f>
        <v>#N/A</v>
      </c>
    </row>
    <row r="797" spans="11:15" ht="12.75" x14ac:dyDescent="0.2">
      <c r="K797" s="6"/>
      <c r="L797" s="6"/>
      <c r="O797" s="4" t="str">
        <f ca="1">IFERROR(__xludf.DUMMYFUNCTION("TEXTJOIN("","", TRUE, FILTER($E$2:$E1000 &amp; $C$2:$C1000, $A$2:$A1000=A797, $B$2:$B1000=B797, $D$2:$D1000&lt;&gt;D797))"),"#N/A")</f>
        <v>#N/A</v>
      </c>
    </row>
    <row r="798" spans="11:15" ht="12.75" x14ac:dyDescent="0.2">
      <c r="K798" s="6"/>
      <c r="L798" s="6"/>
      <c r="O798" s="4" t="str">
        <f ca="1">IFERROR(__xludf.DUMMYFUNCTION("TEXTJOIN("","", TRUE, FILTER($E$2:$E1000 &amp; $C$2:$C1000, $A$2:$A1000=A798, $B$2:$B1000=B798, $D$2:$D1000&lt;&gt;D798))"),"#N/A")</f>
        <v>#N/A</v>
      </c>
    </row>
    <row r="799" spans="11:15" ht="12.75" x14ac:dyDescent="0.2">
      <c r="K799" s="6"/>
      <c r="L799" s="6"/>
      <c r="O799" s="4" t="str">
        <f ca="1">IFERROR(__xludf.DUMMYFUNCTION("TEXTJOIN("","", TRUE, FILTER($E$2:$E1000 &amp; $C$2:$C1000, $A$2:$A1000=A799, $B$2:$B1000=B799, $D$2:$D1000&lt;&gt;D799))"),"#N/A")</f>
        <v>#N/A</v>
      </c>
    </row>
    <row r="800" spans="11:15" ht="12.75" x14ac:dyDescent="0.2">
      <c r="K800" s="6"/>
      <c r="L800" s="6"/>
      <c r="O800" s="4" t="str">
        <f ca="1">IFERROR(__xludf.DUMMYFUNCTION("TEXTJOIN("","", TRUE, FILTER($E$2:$E1000 &amp; $C$2:$C1000, $A$2:$A1000=A800, $B$2:$B1000=B800, $D$2:$D1000&lt;&gt;D800))"),"#N/A")</f>
        <v>#N/A</v>
      </c>
    </row>
    <row r="801" spans="11:15" ht="12.75" x14ac:dyDescent="0.2">
      <c r="K801" s="6"/>
      <c r="L801" s="6"/>
      <c r="O801" s="4" t="str">
        <f ca="1">IFERROR(__xludf.DUMMYFUNCTION("TEXTJOIN("","", TRUE, FILTER($E$2:$E1000 &amp; $C$2:$C1000, $A$2:$A1000=A801, $B$2:$B1000=B801, $D$2:$D1000&lt;&gt;D801))"),"#N/A")</f>
        <v>#N/A</v>
      </c>
    </row>
    <row r="802" spans="11:15" ht="12.75" x14ac:dyDescent="0.2">
      <c r="K802" s="6"/>
      <c r="L802" s="6"/>
      <c r="O802" s="4" t="str">
        <f ca="1">IFERROR(__xludf.DUMMYFUNCTION("TEXTJOIN("","", TRUE, FILTER($E$2:$E1000 &amp; $C$2:$C1000, $A$2:$A1000=A802, $B$2:$B1000=B802, $D$2:$D1000&lt;&gt;D802))"),"#N/A")</f>
        <v>#N/A</v>
      </c>
    </row>
    <row r="803" spans="11:15" ht="12.75" x14ac:dyDescent="0.2">
      <c r="K803" s="6"/>
      <c r="L803" s="6"/>
      <c r="O803" s="4" t="str">
        <f ca="1">IFERROR(__xludf.DUMMYFUNCTION("TEXTJOIN("","", TRUE, FILTER($E$2:$E1000 &amp; $C$2:$C1000, $A$2:$A1000=A803, $B$2:$B1000=B803, $D$2:$D1000&lt;&gt;D803))"),"#N/A")</f>
        <v>#N/A</v>
      </c>
    </row>
    <row r="804" spans="11:15" ht="12.75" x14ac:dyDescent="0.2">
      <c r="K804" s="6"/>
      <c r="L804" s="6"/>
      <c r="O804" s="4" t="str">
        <f ca="1">IFERROR(__xludf.DUMMYFUNCTION("TEXTJOIN("","", TRUE, FILTER($E$2:$E1000 &amp; $C$2:$C1000, $A$2:$A1000=A804, $B$2:$B1000=B804, $D$2:$D1000&lt;&gt;D804))"),"#N/A")</f>
        <v>#N/A</v>
      </c>
    </row>
    <row r="805" spans="11:15" ht="12.75" x14ac:dyDescent="0.2">
      <c r="K805" s="6"/>
      <c r="L805" s="6"/>
      <c r="O805" s="4" t="str">
        <f ca="1">IFERROR(__xludf.DUMMYFUNCTION("TEXTJOIN("","", TRUE, FILTER($E$2:$E1000 &amp; $C$2:$C1000, $A$2:$A1000=A805, $B$2:$B1000=B805, $D$2:$D1000&lt;&gt;D805))"),"#N/A")</f>
        <v>#N/A</v>
      </c>
    </row>
    <row r="806" spans="11:15" ht="12.75" x14ac:dyDescent="0.2">
      <c r="K806" s="6"/>
      <c r="L806" s="6"/>
      <c r="O806" s="4" t="str">
        <f ca="1">IFERROR(__xludf.DUMMYFUNCTION("TEXTJOIN("","", TRUE, FILTER($E$2:$E1000 &amp; $C$2:$C1000, $A$2:$A1000=A806, $B$2:$B1000=B806, $D$2:$D1000&lt;&gt;D806))"),"#N/A")</f>
        <v>#N/A</v>
      </c>
    </row>
    <row r="807" spans="11:15" ht="12.75" x14ac:dyDescent="0.2">
      <c r="K807" s="6"/>
      <c r="L807" s="6"/>
      <c r="O807" s="4" t="str">
        <f ca="1">IFERROR(__xludf.DUMMYFUNCTION("TEXTJOIN("","", TRUE, FILTER($E$2:$E1000 &amp; $C$2:$C1000, $A$2:$A1000=A807, $B$2:$B1000=B807, $D$2:$D1000&lt;&gt;D807))"),"#N/A")</f>
        <v>#N/A</v>
      </c>
    </row>
    <row r="808" spans="11:15" ht="12.75" x14ac:dyDescent="0.2">
      <c r="K808" s="6"/>
      <c r="L808" s="6"/>
      <c r="O808" s="4" t="str">
        <f ca="1">IFERROR(__xludf.DUMMYFUNCTION("TEXTJOIN("","", TRUE, FILTER($E$2:$E1000 &amp; $C$2:$C1000, $A$2:$A1000=A808, $B$2:$B1000=B808, $D$2:$D1000&lt;&gt;D808))"),"#N/A")</f>
        <v>#N/A</v>
      </c>
    </row>
    <row r="809" spans="11:15" ht="12.75" x14ac:dyDescent="0.2">
      <c r="K809" s="6"/>
      <c r="L809" s="6"/>
      <c r="O809" s="4" t="str">
        <f ca="1">IFERROR(__xludf.DUMMYFUNCTION("TEXTJOIN("","", TRUE, FILTER($E$2:$E1000 &amp; $C$2:$C1000, $A$2:$A1000=A809, $B$2:$B1000=B809, $D$2:$D1000&lt;&gt;D809))"),"#N/A")</f>
        <v>#N/A</v>
      </c>
    </row>
    <row r="810" spans="11:15" ht="12.75" x14ac:dyDescent="0.2">
      <c r="K810" s="6"/>
      <c r="L810" s="6"/>
      <c r="O810" s="4" t="str">
        <f ca="1">IFERROR(__xludf.DUMMYFUNCTION("TEXTJOIN("","", TRUE, FILTER($E$2:$E1000 &amp; $C$2:$C1000, $A$2:$A1000=A810, $B$2:$B1000=B810, $D$2:$D1000&lt;&gt;D810))"),"#N/A")</f>
        <v>#N/A</v>
      </c>
    </row>
    <row r="811" spans="11:15" ht="12.75" x14ac:dyDescent="0.2">
      <c r="K811" s="6"/>
      <c r="L811" s="6"/>
      <c r="O811" s="4" t="str">
        <f ca="1">IFERROR(__xludf.DUMMYFUNCTION("TEXTJOIN("","", TRUE, FILTER($E$2:$E1000 &amp; $C$2:$C1000, $A$2:$A1000=A811, $B$2:$B1000=B811, $D$2:$D1000&lt;&gt;D811))"),"#N/A")</f>
        <v>#N/A</v>
      </c>
    </row>
    <row r="812" spans="11:15" ht="12.75" x14ac:dyDescent="0.2">
      <c r="K812" s="6"/>
      <c r="L812" s="6"/>
      <c r="O812" s="4" t="str">
        <f ca="1">IFERROR(__xludf.DUMMYFUNCTION("TEXTJOIN("","", TRUE, FILTER($E$2:$E1000 &amp; $C$2:$C1000, $A$2:$A1000=A812, $B$2:$B1000=B812, $D$2:$D1000&lt;&gt;D812))"),"#N/A")</f>
        <v>#N/A</v>
      </c>
    </row>
    <row r="813" spans="11:15" ht="12.75" x14ac:dyDescent="0.2">
      <c r="K813" s="6"/>
      <c r="L813" s="6"/>
      <c r="O813" s="4" t="str">
        <f ca="1">IFERROR(__xludf.DUMMYFUNCTION("TEXTJOIN("","", TRUE, FILTER($E$2:$E1000 &amp; $C$2:$C1000, $A$2:$A1000=A813, $B$2:$B1000=B813, $D$2:$D1000&lt;&gt;D813))"),"#N/A")</f>
        <v>#N/A</v>
      </c>
    </row>
    <row r="814" spans="11:15" ht="12.75" x14ac:dyDescent="0.2">
      <c r="K814" s="6"/>
      <c r="L814" s="6"/>
      <c r="O814" s="4" t="str">
        <f ca="1">IFERROR(__xludf.DUMMYFUNCTION("TEXTJOIN("","", TRUE, FILTER($E$2:$E1000 &amp; $C$2:$C1000, $A$2:$A1000=A814, $B$2:$B1000=B814, $D$2:$D1000&lt;&gt;D814))"),"#N/A")</f>
        <v>#N/A</v>
      </c>
    </row>
    <row r="815" spans="11:15" ht="12.75" x14ac:dyDescent="0.2">
      <c r="K815" s="6"/>
      <c r="L815" s="6"/>
      <c r="O815" s="4" t="str">
        <f ca="1">IFERROR(__xludf.DUMMYFUNCTION("TEXTJOIN("","", TRUE, FILTER($E$2:$E1000 &amp; $C$2:$C1000, $A$2:$A1000=A815, $B$2:$B1000=B815, $D$2:$D1000&lt;&gt;D815))"),"#N/A")</f>
        <v>#N/A</v>
      </c>
    </row>
    <row r="816" spans="11:15" ht="12.75" x14ac:dyDescent="0.2">
      <c r="K816" s="6"/>
      <c r="L816" s="6"/>
      <c r="O816" s="4" t="str">
        <f ca="1">IFERROR(__xludf.DUMMYFUNCTION("TEXTJOIN("","", TRUE, FILTER($E$2:$E1000 &amp; $C$2:$C1000, $A$2:$A1000=A816, $B$2:$B1000=B816, $D$2:$D1000&lt;&gt;D816))"),"#N/A")</f>
        <v>#N/A</v>
      </c>
    </row>
    <row r="817" spans="11:15" ht="12.75" x14ac:dyDescent="0.2">
      <c r="K817" s="6"/>
      <c r="L817" s="6"/>
      <c r="O817" s="4" t="str">
        <f ca="1">IFERROR(__xludf.DUMMYFUNCTION("TEXTJOIN("","", TRUE, FILTER($E$2:$E1000 &amp; $C$2:$C1000, $A$2:$A1000=A817, $B$2:$B1000=B817, $D$2:$D1000&lt;&gt;D817))"),"#N/A")</f>
        <v>#N/A</v>
      </c>
    </row>
    <row r="818" spans="11:15" ht="12.75" x14ac:dyDescent="0.2">
      <c r="K818" s="6"/>
      <c r="L818" s="6"/>
      <c r="O818" s="4" t="str">
        <f ca="1">IFERROR(__xludf.DUMMYFUNCTION("TEXTJOIN("","", TRUE, FILTER($E$2:$E1000 &amp; $C$2:$C1000, $A$2:$A1000=A818, $B$2:$B1000=B818, $D$2:$D1000&lt;&gt;D818))"),"#N/A")</f>
        <v>#N/A</v>
      </c>
    </row>
    <row r="819" spans="11:15" ht="12.75" x14ac:dyDescent="0.2">
      <c r="K819" s="6"/>
      <c r="L819" s="6"/>
      <c r="O819" s="4" t="str">
        <f ca="1">IFERROR(__xludf.DUMMYFUNCTION("TEXTJOIN("","", TRUE, FILTER($E$2:$E1000 &amp; $C$2:$C1000, $A$2:$A1000=A819, $B$2:$B1000=B819, $D$2:$D1000&lt;&gt;D819))"),"#N/A")</f>
        <v>#N/A</v>
      </c>
    </row>
    <row r="820" spans="11:15" ht="12.75" x14ac:dyDescent="0.2">
      <c r="K820" s="6"/>
      <c r="L820" s="6"/>
      <c r="O820" s="4" t="str">
        <f ca="1">IFERROR(__xludf.DUMMYFUNCTION("TEXTJOIN("","", TRUE, FILTER($E$2:$E1000 &amp; $C$2:$C1000, $A$2:$A1000=A820, $B$2:$B1000=B820, $D$2:$D1000&lt;&gt;D820))"),"#N/A")</f>
        <v>#N/A</v>
      </c>
    </row>
    <row r="821" spans="11:15" ht="12.75" x14ac:dyDescent="0.2">
      <c r="K821" s="6"/>
      <c r="L821" s="6"/>
      <c r="O821" s="4" t="str">
        <f ca="1">IFERROR(__xludf.DUMMYFUNCTION("TEXTJOIN("","", TRUE, FILTER($E$2:$E1000 &amp; $C$2:$C1000, $A$2:$A1000=A821, $B$2:$B1000=B821, $D$2:$D1000&lt;&gt;D821))"),"#N/A")</f>
        <v>#N/A</v>
      </c>
    </row>
    <row r="822" spans="11:15" ht="12.75" x14ac:dyDescent="0.2">
      <c r="K822" s="6"/>
      <c r="L822" s="6"/>
      <c r="O822" s="4" t="str">
        <f ca="1">IFERROR(__xludf.DUMMYFUNCTION("TEXTJOIN("","", TRUE, FILTER($E$2:$E1000 &amp; $C$2:$C1000, $A$2:$A1000=A822, $B$2:$B1000=B822, $D$2:$D1000&lt;&gt;D822))"),"#N/A")</f>
        <v>#N/A</v>
      </c>
    </row>
    <row r="823" spans="11:15" ht="12.75" x14ac:dyDescent="0.2">
      <c r="K823" s="6"/>
      <c r="L823" s="6"/>
      <c r="O823" s="4" t="str">
        <f ca="1">IFERROR(__xludf.DUMMYFUNCTION("TEXTJOIN("","", TRUE, FILTER($E$2:$E1000 &amp; $C$2:$C1000, $A$2:$A1000=A823, $B$2:$B1000=B823, $D$2:$D1000&lt;&gt;D823))"),"#N/A")</f>
        <v>#N/A</v>
      </c>
    </row>
    <row r="824" spans="11:15" ht="12.75" x14ac:dyDescent="0.2">
      <c r="K824" s="6"/>
      <c r="L824" s="6"/>
      <c r="O824" s="4" t="str">
        <f ca="1">IFERROR(__xludf.DUMMYFUNCTION("TEXTJOIN("","", TRUE, FILTER($E$2:$E1000 &amp; $C$2:$C1000, $A$2:$A1000=A824, $B$2:$B1000=B824, $D$2:$D1000&lt;&gt;D824))"),"#N/A")</f>
        <v>#N/A</v>
      </c>
    </row>
    <row r="825" spans="11:15" ht="12.75" x14ac:dyDescent="0.2">
      <c r="K825" s="6"/>
      <c r="L825" s="6"/>
      <c r="O825" s="4" t="str">
        <f ca="1">IFERROR(__xludf.DUMMYFUNCTION("TEXTJOIN("","", TRUE, FILTER($E$2:$E1000 &amp; $C$2:$C1000, $A$2:$A1000=A825, $B$2:$B1000=B825, $D$2:$D1000&lt;&gt;D825))"),"#N/A")</f>
        <v>#N/A</v>
      </c>
    </row>
    <row r="826" spans="11:15" ht="12.75" x14ac:dyDescent="0.2">
      <c r="K826" s="6"/>
      <c r="L826" s="6"/>
      <c r="O826" s="4" t="str">
        <f ca="1">IFERROR(__xludf.DUMMYFUNCTION("TEXTJOIN("","", TRUE, FILTER($E$2:$E1000 &amp; $C$2:$C1000, $A$2:$A1000=A826, $B$2:$B1000=B826, $D$2:$D1000&lt;&gt;D826))"),"#N/A")</f>
        <v>#N/A</v>
      </c>
    </row>
    <row r="827" spans="11:15" ht="12.75" x14ac:dyDescent="0.2">
      <c r="K827" s="6"/>
      <c r="L827" s="6"/>
      <c r="O827" s="4" t="str">
        <f ca="1">IFERROR(__xludf.DUMMYFUNCTION("TEXTJOIN("","", TRUE, FILTER($E$2:$E1000 &amp; $C$2:$C1000, $A$2:$A1000=A827, $B$2:$B1000=B827, $D$2:$D1000&lt;&gt;D827))"),"#N/A")</f>
        <v>#N/A</v>
      </c>
    </row>
    <row r="828" spans="11:15" ht="12.75" x14ac:dyDescent="0.2">
      <c r="K828" s="6"/>
      <c r="L828" s="6"/>
      <c r="O828" s="4" t="str">
        <f ca="1">IFERROR(__xludf.DUMMYFUNCTION("TEXTJOIN("","", TRUE, FILTER($E$2:$E1000 &amp; $C$2:$C1000, $A$2:$A1000=A828, $B$2:$B1000=B828, $D$2:$D1000&lt;&gt;D828))"),"#N/A")</f>
        <v>#N/A</v>
      </c>
    </row>
    <row r="829" spans="11:15" ht="12.75" x14ac:dyDescent="0.2">
      <c r="K829" s="6"/>
      <c r="L829" s="6"/>
      <c r="O829" s="4" t="str">
        <f ca="1">IFERROR(__xludf.DUMMYFUNCTION("TEXTJOIN("","", TRUE, FILTER($E$2:$E1000 &amp; $C$2:$C1000, $A$2:$A1000=A829, $B$2:$B1000=B829, $D$2:$D1000&lt;&gt;D829))"),"#N/A")</f>
        <v>#N/A</v>
      </c>
    </row>
    <row r="830" spans="11:15" ht="12.75" x14ac:dyDescent="0.2">
      <c r="K830" s="6"/>
      <c r="L830" s="6"/>
      <c r="O830" s="4" t="str">
        <f ca="1">IFERROR(__xludf.DUMMYFUNCTION("TEXTJOIN("","", TRUE, FILTER($E$2:$E1000 &amp; $C$2:$C1000, $A$2:$A1000=A830, $B$2:$B1000=B830, $D$2:$D1000&lt;&gt;D830))"),"#N/A")</f>
        <v>#N/A</v>
      </c>
    </row>
    <row r="831" spans="11:15" ht="12.75" x14ac:dyDescent="0.2">
      <c r="K831" s="6"/>
      <c r="L831" s="6"/>
      <c r="O831" s="4" t="str">
        <f ca="1">IFERROR(__xludf.DUMMYFUNCTION("TEXTJOIN("","", TRUE, FILTER($E$2:$E1000 &amp; $C$2:$C1000, $A$2:$A1000=A831, $B$2:$B1000=B831, $D$2:$D1000&lt;&gt;D831))"),"#N/A")</f>
        <v>#N/A</v>
      </c>
    </row>
    <row r="832" spans="11:15" ht="12.75" x14ac:dyDescent="0.2">
      <c r="K832" s="6"/>
      <c r="L832" s="6"/>
      <c r="O832" s="4" t="str">
        <f ca="1">IFERROR(__xludf.DUMMYFUNCTION("TEXTJOIN("","", TRUE, FILTER($E$2:$E1000 &amp; $C$2:$C1000, $A$2:$A1000=A832, $B$2:$B1000=B832, $D$2:$D1000&lt;&gt;D832))"),"#N/A")</f>
        <v>#N/A</v>
      </c>
    </row>
    <row r="833" spans="11:15" ht="12.75" x14ac:dyDescent="0.2">
      <c r="K833" s="6"/>
      <c r="L833" s="6"/>
      <c r="O833" s="4" t="str">
        <f ca="1">IFERROR(__xludf.DUMMYFUNCTION("TEXTJOIN("","", TRUE, FILTER($E$2:$E1000 &amp; $C$2:$C1000, $A$2:$A1000=A833, $B$2:$B1000=B833, $D$2:$D1000&lt;&gt;D833))"),"#N/A")</f>
        <v>#N/A</v>
      </c>
    </row>
    <row r="834" spans="11:15" ht="12.75" x14ac:dyDescent="0.2">
      <c r="K834" s="6"/>
      <c r="L834" s="6"/>
      <c r="O834" s="4" t="str">
        <f ca="1">IFERROR(__xludf.DUMMYFUNCTION("TEXTJOIN("","", TRUE, FILTER($E$2:$E1000 &amp; $C$2:$C1000, $A$2:$A1000=A834, $B$2:$B1000=B834, $D$2:$D1000&lt;&gt;D834))"),"#N/A")</f>
        <v>#N/A</v>
      </c>
    </row>
    <row r="835" spans="11:15" ht="12.75" x14ac:dyDescent="0.2">
      <c r="K835" s="6"/>
      <c r="L835" s="6"/>
      <c r="O835" s="4" t="str">
        <f ca="1">IFERROR(__xludf.DUMMYFUNCTION("TEXTJOIN("","", TRUE, FILTER($E$2:$E1000 &amp; $C$2:$C1000, $A$2:$A1000=A835, $B$2:$B1000=B835, $D$2:$D1000&lt;&gt;D835))"),"#N/A")</f>
        <v>#N/A</v>
      </c>
    </row>
    <row r="836" spans="11:15" ht="12.75" x14ac:dyDescent="0.2">
      <c r="K836" s="6"/>
      <c r="L836" s="6"/>
      <c r="O836" s="4" t="str">
        <f ca="1">IFERROR(__xludf.DUMMYFUNCTION("TEXTJOIN("","", TRUE, FILTER($E$2:$E1000 &amp; $C$2:$C1000, $A$2:$A1000=A836, $B$2:$B1000=B836, $D$2:$D1000&lt;&gt;D836))"),"#N/A")</f>
        <v>#N/A</v>
      </c>
    </row>
    <row r="837" spans="11:15" ht="12.75" x14ac:dyDescent="0.2">
      <c r="K837" s="6"/>
      <c r="L837" s="6"/>
      <c r="O837" s="4" t="str">
        <f ca="1">IFERROR(__xludf.DUMMYFUNCTION("TEXTJOIN("","", TRUE, FILTER($E$2:$E1000 &amp; $C$2:$C1000, $A$2:$A1000=A837, $B$2:$B1000=B837, $D$2:$D1000&lt;&gt;D837))"),"#N/A")</f>
        <v>#N/A</v>
      </c>
    </row>
    <row r="838" spans="11:15" ht="12.75" x14ac:dyDescent="0.2">
      <c r="K838" s="6"/>
      <c r="L838" s="6"/>
      <c r="O838" s="4" t="str">
        <f ca="1">IFERROR(__xludf.DUMMYFUNCTION("TEXTJOIN("","", TRUE, FILTER($E$2:$E1000 &amp; $C$2:$C1000, $A$2:$A1000=A838, $B$2:$B1000=B838, $D$2:$D1000&lt;&gt;D838))"),"#N/A")</f>
        <v>#N/A</v>
      </c>
    </row>
    <row r="839" spans="11:15" ht="12.75" x14ac:dyDescent="0.2">
      <c r="K839" s="6"/>
      <c r="L839" s="6"/>
      <c r="O839" s="4" t="str">
        <f ca="1">IFERROR(__xludf.DUMMYFUNCTION("TEXTJOIN("","", TRUE, FILTER($E$2:$E1000 &amp; $C$2:$C1000, $A$2:$A1000=A839, $B$2:$B1000=B839, $D$2:$D1000&lt;&gt;D839))"),"#N/A")</f>
        <v>#N/A</v>
      </c>
    </row>
    <row r="840" spans="11:15" ht="12.75" x14ac:dyDescent="0.2">
      <c r="K840" s="6"/>
      <c r="L840" s="6"/>
      <c r="O840" s="4" t="str">
        <f ca="1">IFERROR(__xludf.DUMMYFUNCTION("TEXTJOIN("","", TRUE, FILTER($E$2:$E1000 &amp; $C$2:$C1000, $A$2:$A1000=A840, $B$2:$B1000=B840, $D$2:$D1000&lt;&gt;D840))"),"#N/A")</f>
        <v>#N/A</v>
      </c>
    </row>
    <row r="841" spans="11:15" ht="12.75" x14ac:dyDescent="0.2">
      <c r="K841" s="6"/>
      <c r="L841" s="6"/>
      <c r="O841" s="4" t="str">
        <f ca="1">IFERROR(__xludf.DUMMYFUNCTION("TEXTJOIN("","", TRUE, FILTER($E$2:$E1000 &amp; $C$2:$C1000, $A$2:$A1000=A841, $B$2:$B1000=B841, $D$2:$D1000&lt;&gt;D841))"),"#N/A")</f>
        <v>#N/A</v>
      </c>
    </row>
    <row r="842" spans="11:15" ht="12.75" x14ac:dyDescent="0.2">
      <c r="K842" s="6"/>
      <c r="L842" s="6"/>
      <c r="O842" s="4" t="str">
        <f ca="1">IFERROR(__xludf.DUMMYFUNCTION("TEXTJOIN("","", TRUE, FILTER($E$2:$E1000 &amp; $C$2:$C1000, $A$2:$A1000=A842, $B$2:$B1000=B842, $D$2:$D1000&lt;&gt;D842))"),"#N/A")</f>
        <v>#N/A</v>
      </c>
    </row>
    <row r="843" spans="11:15" ht="12.75" x14ac:dyDescent="0.2">
      <c r="K843" s="6"/>
      <c r="L843" s="6"/>
      <c r="O843" s="4" t="str">
        <f ca="1">IFERROR(__xludf.DUMMYFUNCTION("TEXTJOIN("","", TRUE, FILTER($E$2:$E1000 &amp; $C$2:$C1000, $A$2:$A1000=A843, $B$2:$B1000=B843, $D$2:$D1000&lt;&gt;D843))"),"#N/A")</f>
        <v>#N/A</v>
      </c>
    </row>
    <row r="844" spans="11:15" ht="12.75" x14ac:dyDescent="0.2">
      <c r="K844" s="6"/>
      <c r="L844" s="6"/>
      <c r="O844" s="4" t="str">
        <f ca="1">IFERROR(__xludf.DUMMYFUNCTION("TEXTJOIN("","", TRUE, FILTER($E$2:$E1000 &amp; $C$2:$C1000, $A$2:$A1000=A844, $B$2:$B1000=B844, $D$2:$D1000&lt;&gt;D844))"),"#N/A")</f>
        <v>#N/A</v>
      </c>
    </row>
    <row r="845" spans="11:15" ht="12.75" x14ac:dyDescent="0.2">
      <c r="K845" s="6"/>
      <c r="L845" s="6"/>
      <c r="O845" s="4" t="str">
        <f ca="1">IFERROR(__xludf.DUMMYFUNCTION("TEXTJOIN("","", TRUE, FILTER($E$2:$E1000 &amp; $C$2:$C1000, $A$2:$A1000=A845, $B$2:$B1000=B845, $D$2:$D1000&lt;&gt;D845))"),"#N/A")</f>
        <v>#N/A</v>
      </c>
    </row>
    <row r="846" spans="11:15" ht="12.75" x14ac:dyDescent="0.2">
      <c r="K846" s="6"/>
      <c r="L846" s="6"/>
      <c r="O846" s="4" t="str">
        <f ca="1">IFERROR(__xludf.DUMMYFUNCTION("TEXTJOIN("","", TRUE, FILTER($E$2:$E1000 &amp; $C$2:$C1000, $A$2:$A1000=A846, $B$2:$B1000=B846, $D$2:$D1000&lt;&gt;D846))"),"#N/A")</f>
        <v>#N/A</v>
      </c>
    </row>
    <row r="847" spans="11:15" ht="12.75" x14ac:dyDescent="0.2">
      <c r="K847" s="6"/>
      <c r="L847" s="6"/>
      <c r="O847" s="4" t="str">
        <f ca="1">IFERROR(__xludf.DUMMYFUNCTION("TEXTJOIN("","", TRUE, FILTER($E$2:$E1000 &amp; $C$2:$C1000, $A$2:$A1000=A847, $B$2:$B1000=B847, $D$2:$D1000&lt;&gt;D847))"),"#N/A")</f>
        <v>#N/A</v>
      </c>
    </row>
    <row r="848" spans="11:15" ht="12.75" x14ac:dyDescent="0.2">
      <c r="K848" s="6"/>
      <c r="L848" s="6"/>
      <c r="O848" s="4" t="str">
        <f ca="1">IFERROR(__xludf.DUMMYFUNCTION("TEXTJOIN("","", TRUE, FILTER($E$2:$E1000 &amp; $C$2:$C1000, $A$2:$A1000=A848, $B$2:$B1000=B848, $D$2:$D1000&lt;&gt;D848))"),"#N/A")</f>
        <v>#N/A</v>
      </c>
    </row>
    <row r="849" spans="11:15" ht="12.75" x14ac:dyDescent="0.2">
      <c r="K849" s="6"/>
      <c r="L849" s="6"/>
      <c r="O849" s="4" t="str">
        <f ca="1">IFERROR(__xludf.DUMMYFUNCTION("TEXTJOIN("","", TRUE, FILTER($E$2:$E1000 &amp; $C$2:$C1000, $A$2:$A1000=A849, $B$2:$B1000=B849, $D$2:$D1000&lt;&gt;D849))"),"#N/A")</f>
        <v>#N/A</v>
      </c>
    </row>
    <row r="850" spans="11:15" ht="12.75" x14ac:dyDescent="0.2">
      <c r="K850" s="6"/>
      <c r="L850" s="6"/>
      <c r="O850" s="4" t="str">
        <f ca="1">IFERROR(__xludf.DUMMYFUNCTION("TEXTJOIN("","", TRUE, FILTER($E$2:$E1000 &amp; $C$2:$C1000, $A$2:$A1000=A850, $B$2:$B1000=B850, $D$2:$D1000&lt;&gt;D850))"),"#N/A")</f>
        <v>#N/A</v>
      </c>
    </row>
    <row r="851" spans="11:15" ht="12.75" x14ac:dyDescent="0.2">
      <c r="K851" s="6"/>
      <c r="L851" s="6"/>
      <c r="O851" s="4" t="str">
        <f ca="1">IFERROR(__xludf.DUMMYFUNCTION("TEXTJOIN("","", TRUE, FILTER($E$2:$E1000 &amp; $C$2:$C1000, $A$2:$A1000=A851, $B$2:$B1000=B851, $D$2:$D1000&lt;&gt;D851))"),"#N/A")</f>
        <v>#N/A</v>
      </c>
    </row>
    <row r="852" spans="11:15" ht="12.75" x14ac:dyDescent="0.2">
      <c r="K852" s="6"/>
      <c r="L852" s="6"/>
      <c r="O852" s="4" t="str">
        <f ca="1">IFERROR(__xludf.DUMMYFUNCTION("TEXTJOIN("","", TRUE, FILTER($E$2:$E1000 &amp; $C$2:$C1000, $A$2:$A1000=A852, $B$2:$B1000=B852, $D$2:$D1000&lt;&gt;D852))"),"#N/A")</f>
        <v>#N/A</v>
      </c>
    </row>
    <row r="853" spans="11:15" ht="12.75" x14ac:dyDescent="0.2">
      <c r="K853" s="6"/>
      <c r="L853" s="6"/>
      <c r="O853" s="4" t="str">
        <f ca="1">IFERROR(__xludf.DUMMYFUNCTION("TEXTJOIN("","", TRUE, FILTER($E$2:$E1000 &amp; $C$2:$C1000, $A$2:$A1000=A853, $B$2:$B1000=B853, $D$2:$D1000&lt;&gt;D853))"),"#N/A")</f>
        <v>#N/A</v>
      </c>
    </row>
    <row r="854" spans="11:15" ht="12.75" x14ac:dyDescent="0.2">
      <c r="K854" s="6"/>
      <c r="L854" s="6"/>
      <c r="O854" s="4" t="str">
        <f ca="1">IFERROR(__xludf.DUMMYFUNCTION("TEXTJOIN("","", TRUE, FILTER($E$2:$E1000 &amp; $C$2:$C1000, $A$2:$A1000=A854, $B$2:$B1000=B854, $D$2:$D1000&lt;&gt;D854))"),"#N/A")</f>
        <v>#N/A</v>
      </c>
    </row>
    <row r="855" spans="11:15" ht="12.75" x14ac:dyDescent="0.2">
      <c r="K855" s="6"/>
      <c r="L855" s="6"/>
      <c r="O855" s="4" t="str">
        <f ca="1">IFERROR(__xludf.DUMMYFUNCTION("TEXTJOIN("","", TRUE, FILTER($E$2:$E1000 &amp; $C$2:$C1000, $A$2:$A1000=A855, $B$2:$B1000=B855, $D$2:$D1000&lt;&gt;D855))"),"#N/A")</f>
        <v>#N/A</v>
      </c>
    </row>
    <row r="856" spans="11:15" ht="12.75" x14ac:dyDescent="0.2">
      <c r="K856" s="6"/>
      <c r="L856" s="6"/>
      <c r="O856" s="4" t="str">
        <f ca="1">IFERROR(__xludf.DUMMYFUNCTION("TEXTJOIN("","", TRUE, FILTER($E$2:$E1000 &amp; $C$2:$C1000, $A$2:$A1000=A856, $B$2:$B1000=B856, $D$2:$D1000&lt;&gt;D856))"),"#N/A")</f>
        <v>#N/A</v>
      </c>
    </row>
    <row r="857" spans="11:15" ht="12.75" x14ac:dyDescent="0.2">
      <c r="K857" s="6"/>
      <c r="L857" s="6"/>
      <c r="O857" s="4" t="str">
        <f ca="1">IFERROR(__xludf.DUMMYFUNCTION("TEXTJOIN("","", TRUE, FILTER($E$2:$E1000 &amp; $C$2:$C1000, $A$2:$A1000=A857, $B$2:$B1000=B857, $D$2:$D1000&lt;&gt;D857))"),"#N/A")</f>
        <v>#N/A</v>
      </c>
    </row>
    <row r="858" spans="11:15" ht="12.75" x14ac:dyDescent="0.2">
      <c r="K858" s="6"/>
      <c r="L858" s="6"/>
      <c r="O858" s="4" t="str">
        <f ca="1">IFERROR(__xludf.DUMMYFUNCTION("TEXTJOIN("","", TRUE, FILTER($E$2:$E1000 &amp; $C$2:$C1000, $A$2:$A1000=A858, $B$2:$B1000=B858, $D$2:$D1000&lt;&gt;D858))"),"#N/A")</f>
        <v>#N/A</v>
      </c>
    </row>
    <row r="859" spans="11:15" ht="12.75" x14ac:dyDescent="0.2">
      <c r="K859" s="6"/>
      <c r="L859" s="6"/>
      <c r="O859" s="4" t="str">
        <f ca="1">IFERROR(__xludf.DUMMYFUNCTION("TEXTJOIN("","", TRUE, FILTER($E$2:$E1000 &amp; $C$2:$C1000, $A$2:$A1000=A859, $B$2:$B1000=B859, $D$2:$D1000&lt;&gt;D859))"),"#N/A")</f>
        <v>#N/A</v>
      </c>
    </row>
    <row r="860" spans="11:15" ht="12.75" x14ac:dyDescent="0.2">
      <c r="K860" s="6"/>
      <c r="L860" s="6"/>
      <c r="O860" s="4" t="str">
        <f ca="1">IFERROR(__xludf.DUMMYFUNCTION("TEXTJOIN("","", TRUE, FILTER($E$2:$E1000 &amp; $C$2:$C1000, $A$2:$A1000=A860, $B$2:$B1000=B860, $D$2:$D1000&lt;&gt;D860))"),"#N/A")</f>
        <v>#N/A</v>
      </c>
    </row>
    <row r="861" spans="11:15" ht="12.75" x14ac:dyDescent="0.2">
      <c r="K861" s="6"/>
      <c r="L861" s="6"/>
      <c r="O861" s="4" t="str">
        <f ca="1">IFERROR(__xludf.DUMMYFUNCTION("TEXTJOIN("","", TRUE, FILTER($E$2:$E1000 &amp; $C$2:$C1000, $A$2:$A1000=A861, $B$2:$B1000=B861, $D$2:$D1000&lt;&gt;D861))"),"#N/A")</f>
        <v>#N/A</v>
      </c>
    </row>
    <row r="862" spans="11:15" ht="12.75" x14ac:dyDescent="0.2">
      <c r="K862" s="6"/>
      <c r="L862" s="6"/>
      <c r="O862" s="4" t="str">
        <f ca="1">IFERROR(__xludf.DUMMYFUNCTION("TEXTJOIN("","", TRUE, FILTER($E$2:$E1000 &amp; $C$2:$C1000, $A$2:$A1000=A862, $B$2:$B1000=B862, $D$2:$D1000&lt;&gt;D862))"),"#N/A")</f>
        <v>#N/A</v>
      </c>
    </row>
    <row r="863" spans="11:15" ht="12.75" x14ac:dyDescent="0.2">
      <c r="K863" s="6"/>
      <c r="L863" s="6"/>
      <c r="O863" s="4" t="str">
        <f ca="1">IFERROR(__xludf.DUMMYFUNCTION("TEXTJOIN("","", TRUE, FILTER($E$2:$E1000 &amp; $C$2:$C1000, $A$2:$A1000=A863, $B$2:$B1000=B863, $D$2:$D1000&lt;&gt;D863))"),"#N/A")</f>
        <v>#N/A</v>
      </c>
    </row>
    <row r="864" spans="11:15" ht="12.75" x14ac:dyDescent="0.2">
      <c r="K864" s="6"/>
      <c r="L864" s="6"/>
      <c r="O864" s="4" t="str">
        <f ca="1">IFERROR(__xludf.DUMMYFUNCTION("TEXTJOIN("","", TRUE, FILTER($E$2:$E1000 &amp; $C$2:$C1000, $A$2:$A1000=A864, $B$2:$B1000=B864, $D$2:$D1000&lt;&gt;D864))"),"#N/A")</f>
        <v>#N/A</v>
      </c>
    </row>
    <row r="865" spans="11:15" ht="12.75" x14ac:dyDescent="0.2">
      <c r="K865" s="6"/>
      <c r="L865" s="6"/>
      <c r="O865" s="4" t="str">
        <f ca="1">IFERROR(__xludf.DUMMYFUNCTION("TEXTJOIN("","", TRUE, FILTER($E$2:$E1000 &amp; $C$2:$C1000, $A$2:$A1000=A865, $B$2:$B1000=B865, $D$2:$D1000&lt;&gt;D865))"),"#N/A")</f>
        <v>#N/A</v>
      </c>
    </row>
    <row r="866" spans="11:15" ht="12.75" x14ac:dyDescent="0.2">
      <c r="K866" s="6"/>
      <c r="L866" s="6"/>
      <c r="O866" s="4" t="str">
        <f ca="1">IFERROR(__xludf.DUMMYFUNCTION("TEXTJOIN("","", TRUE, FILTER($E$2:$E1000 &amp; $C$2:$C1000, $A$2:$A1000=A866, $B$2:$B1000=B866, $D$2:$D1000&lt;&gt;D866))"),"#N/A")</f>
        <v>#N/A</v>
      </c>
    </row>
    <row r="867" spans="11:15" ht="12.75" x14ac:dyDescent="0.2">
      <c r="K867" s="6"/>
      <c r="L867" s="6"/>
      <c r="O867" s="4" t="str">
        <f ca="1">IFERROR(__xludf.DUMMYFUNCTION("TEXTJOIN("","", TRUE, FILTER($E$2:$E1000 &amp; $C$2:$C1000, $A$2:$A1000=A867, $B$2:$B1000=B867, $D$2:$D1000&lt;&gt;D867))"),"#N/A")</f>
        <v>#N/A</v>
      </c>
    </row>
    <row r="868" spans="11:15" ht="12.75" x14ac:dyDescent="0.2">
      <c r="K868" s="6"/>
      <c r="L868" s="6"/>
      <c r="O868" s="4" t="str">
        <f ca="1">IFERROR(__xludf.DUMMYFUNCTION("TEXTJOIN("","", TRUE, FILTER($E$2:$E1000 &amp; $C$2:$C1000, $A$2:$A1000=A868, $B$2:$B1000=B868, $D$2:$D1000&lt;&gt;D868))"),"#N/A")</f>
        <v>#N/A</v>
      </c>
    </row>
    <row r="869" spans="11:15" ht="12.75" x14ac:dyDescent="0.2">
      <c r="K869" s="6"/>
      <c r="L869" s="6"/>
      <c r="O869" s="4" t="str">
        <f ca="1">IFERROR(__xludf.DUMMYFUNCTION("TEXTJOIN("","", TRUE, FILTER($E$2:$E1000 &amp; $C$2:$C1000, $A$2:$A1000=A869, $B$2:$B1000=B869, $D$2:$D1000&lt;&gt;D869))"),"#N/A")</f>
        <v>#N/A</v>
      </c>
    </row>
    <row r="870" spans="11:15" ht="12.75" x14ac:dyDescent="0.2">
      <c r="K870" s="6"/>
      <c r="L870" s="6"/>
      <c r="O870" s="4" t="str">
        <f ca="1">IFERROR(__xludf.DUMMYFUNCTION("TEXTJOIN("","", TRUE, FILTER($E$2:$E1000 &amp; $C$2:$C1000, $A$2:$A1000=A870, $B$2:$B1000=B870, $D$2:$D1000&lt;&gt;D870))"),"#N/A")</f>
        <v>#N/A</v>
      </c>
    </row>
    <row r="871" spans="11:15" ht="12.75" x14ac:dyDescent="0.2">
      <c r="K871" s="6"/>
      <c r="L871" s="6"/>
      <c r="O871" s="4" t="str">
        <f ca="1">IFERROR(__xludf.DUMMYFUNCTION("TEXTJOIN("","", TRUE, FILTER($E$2:$E1000 &amp; $C$2:$C1000, $A$2:$A1000=A871, $B$2:$B1000=B871, $D$2:$D1000&lt;&gt;D871))"),"#N/A")</f>
        <v>#N/A</v>
      </c>
    </row>
    <row r="872" spans="11:15" ht="12.75" x14ac:dyDescent="0.2">
      <c r="K872" s="6"/>
      <c r="L872" s="6"/>
      <c r="O872" s="4" t="str">
        <f ca="1">IFERROR(__xludf.DUMMYFUNCTION("TEXTJOIN("","", TRUE, FILTER($E$2:$E1000 &amp; $C$2:$C1000, $A$2:$A1000=A872, $B$2:$B1000=B872, $D$2:$D1000&lt;&gt;D872))"),"#N/A")</f>
        <v>#N/A</v>
      </c>
    </row>
    <row r="873" spans="11:15" ht="12.75" x14ac:dyDescent="0.2">
      <c r="K873" s="6"/>
      <c r="L873" s="6"/>
      <c r="O873" s="4" t="str">
        <f ca="1">IFERROR(__xludf.DUMMYFUNCTION("TEXTJOIN("","", TRUE, FILTER($E$2:$E1000 &amp; $C$2:$C1000, $A$2:$A1000=A873, $B$2:$B1000=B873, $D$2:$D1000&lt;&gt;D873))"),"#N/A")</f>
        <v>#N/A</v>
      </c>
    </row>
    <row r="874" spans="11:15" ht="12.75" x14ac:dyDescent="0.2">
      <c r="K874" s="6"/>
      <c r="L874" s="6"/>
      <c r="O874" s="4" t="str">
        <f ca="1">IFERROR(__xludf.DUMMYFUNCTION("TEXTJOIN("","", TRUE, FILTER($E$2:$E1000 &amp; $C$2:$C1000, $A$2:$A1000=A874, $B$2:$B1000=B874, $D$2:$D1000&lt;&gt;D874))"),"#N/A")</f>
        <v>#N/A</v>
      </c>
    </row>
    <row r="875" spans="11:15" ht="12.75" x14ac:dyDescent="0.2">
      <c r="K875" s="6"/>
      <c r="L875" s="6"/>
      <c r="O875" s="4" t="str">
        <f ca="1">IFERROR(__xludf.DUMMYFUNCTION("TEXTJOIN("","", TRUE, FILTER($E$2:$E1000 &amp; $C$2:$C1000, $A$2:$A1000=A875, $B$2:$B1000=B875, $D$2:$D1000&lt;&gt;D875))"),"#N/A")</f>
        <v>#N/A</v>
      </c>
    </row>
    <row r="876" spans="11:15" ht="12.75" x14ac:dyDescent="0.2">
      <c r="K876" s="6"/>
      <c r="L876" s="6"/>
      <c r="O876" s="4" t="str">
        <f ca="1">IFERROR(__xludf.DUMMYFUNCTION("TEXTJOIN("","", TRUE, FILTER($E$2:$E1000 &amp; $C$2:$C1000, $A$2:$A1000=A876, $B$2:$B1000=B876, $D$2:$D1000&lt;&gt;D876))"),"#N/A")</f>
        <v>#N/A</v>
      </c>
    </row>
    <row r="877" spans="11:15" ht="12.75" x14ac:dyDescent="0.2">
      <c r="K877" s="6"/>
      <c r="L877" s="6"/>
      <c r="O877" s="4" t="str">
        <f ca="1">IFERROR(__xludf.DUMMYFUNCTION("TEXTJOIN("","", TRUE, FILTER($E$2:$E1000 &amp; $C$2:$C1000, $A$2:$A1000=A877, $B$2:$B1000=B877, $D$2:$D1000&lt;&gt;D877))"),"#N/A")</f>
        <v>#N/A</v>
      </c>
    </row>
    <row r="878" spans="11:15" ht="12.75" x14ac:dyDescent="0.2">
      <c r="K878" s="6"/>
      <c r="L878" s="6"/>
      <c r="O878" s="4" t="str">
        <f ca="1">IFERROR(__xludf.DUMMYFUNCTION("TEXTJOIN("","", TRUE, FILTER($E$2:$E1000 &amp; $C$2:$C1000, $A$2:$A1000=A878, $B$2:$B1000=B878, $D$2:$D1000&lt;&gt;D878))"),"#N/A")</f>
        <v>#N/A</v>
      </c>
    </row>
    <row r="879" spans="11:15" ht="12.75" x14ac:dyDescent="0.2">
      <c r="K879" s="6"/>
      <c r="L879" s="6"/>
      <c r="O879" s="4" t="str">
        <f ca="1">IFERROR(__xludf.DUMMYFUNCTION("TEXTJOIN("","", TRUE, FILTER($E$2:$E1000 &amp; $C$2:$C1000, $A$2:$A1000=A879, $B$2:$B1000=B879, $D$2:$D1000&lt;&gt;D879))"),"#N/A")</f>
        <v>#N/A</v>
      </c>
    </row>
    <row r="880" spans="11:15" ht="12.75" x14ac:dyDescent="0.2">
      <c r="K880" s="6"/>
      <c r="L880" s="6"/>
      <c r="O880" s="4" t="str">
        <f ca="1">IFERROR(__xludf.DUMMYFUNCTION("TEXTJOIN("","", TRUE, FILTER($E$2:$E1000 &amp; $C$2:$C1000, $A$2:$A1000=A880, $B$2:$B1000=B880, $D$2:$D1000&lt;&gt;D880))"),"#N/A")</f>
        <v>#N/A</v>
      </c>
    </row>
    <row r="881" spans="11:15" ht="12.75" x14ac:dyDescent="0.2">
      <c r="K881" s="6"/>
      <c r="L881" s="6"/>
      <c r="O881" s="4" t="str">
        <f ca="1">IFERROR(__xludf.DUMMYFUNCTION("TEXTJOIN("","", TRUE, FILTER($E$2:$E1000 &amp; $C$2:$C1000, $A$2:$A1000=A881, $B$2:$B1000=B881, $D$2:$D1000&lt;&gt;D881))"),"#N/A")</f>
        <v>#N/A</v>
      </c>
    </row>
    <row r="882" spans="11:15" ht="12.75" x14ac:dyDescent="0.2">
      <c r="K882" s="6"/>
      <c r="L882" s="6"/>
      <c r="O882" s="4" t="str">
        <f ca="1">IFERROR(__xludf.DUMMYFUNCTION("TEXTJOIN("","", TRUE, FILTER($E$2:$E1000 &amp; $C$2:$C1000, $A$2:$A1000=A882, $B$2:$B1000=B882, $D$2:$D1000&lt;&gt;D882))"),"#N/A")</f>
        <v>#N/A</v>
      </c>
    </row>
    <row r="883" spans="11:15" ht="12.75" x14ac:dyDescent="0.2">
      <c r="K883" s="6"/>
      <c r="L883" s="6"/>
      <c r="O883" s="4" t="str">
        <f ca="1">IFERROR(__xludf.DUMMYFUNCTION("TEXTJOIN("","", TRUE, FILTER($E$2:$E1000 &amp; $C$2:$C1000, $A$2:$A1000=A883, $B$2:$B1000=B883, $D$2:$D1000&lt;&gt;D883))"),"#N/A")</f>
        <v>#N/A</v>
      </c>
    </row>
    <row r="884" spans="11:15" ht="12.75" x14ac:dyDescent="0.2">
      <c r="K884" s="6"/>
      <c r="L884" s="6"/>
      <c r="O884" s="4" t="str">
        <f ca="1">IFERROR(__xludf.DUMMYFUNCTION("TEXTJOIN("","", TRUE, FILTER($E$2:$E1000 &amp; $C$2:$C1000, $A$2:$A1000=A884, $B$2:$B1000=B884, $D$2:$D1000&lt;&gt;D884))"),"#N/A")</f>
        <v>#N/A</v>
      </c>
    </row>
    <row r="885" spans="11:15" ht="12.75" x14ac:dyDescent="0.2">
      <c r="K885" s="6"/>
      <c r="L885" s="6"/>
      <c r="O885" s="4" t="str">
        <f ca="1">IFERROR(__xludf.DUMMYFUNCTION("TEXTJOIN("","", TRUE, FILTER($E$2:$E1000 &amp; $C$2:$C1000, $A$2:$A1000=A885, $B$2:$B1000=B885, $D$2:$D1000&lt;&gt;D885))"),"#N/A")</f>
        <v>#N/A</v>
      </c>
    </row>
    <row r="886" spans="11:15" ht="12.75" x14ac:dyDescent="0.2">
      <c r="K886" s="6"/>
      <c r="L886" s="6"/>
      <c r="O886" s="4" t="str">
        <f ca="1">IFERROR(__xludf.DUMMYFUNCTION("TEXTJOIN("","", TRUE, FILTER($E$2:$E1000 &amp; $C$2:$C1000, $A$2:$A1000=A886, $B$2:$B1000=B886, $D$2:$D1000&lt;&gt;D886))"),"#N/A")</f>
        <v>#N/A</v>
      </c>
    </row>
    <row r="887" spans="11:15" ht="12.75" x14ac:dyDescent="0.2">
      <c r="K887" s="6"/>
      <c r="L887" s="6"/>
      <c r="O887" s="4" t="str">
        <f ca="1">IFERROR(__xludf.DUMMYFUNCTION("TEXTJOIN("","", TRUE, FILTER($E$2:$E1000 &amp; $C$2:$C1000, $A$2:$A1000=A887, $B$2:$B1000=B887, $D$2:$D1000&lt;&gt;D887))"),"#N/A")</f>
        <v>#N/A</v>
      </c>
    </row>
    <row r="888" spans="11:15" ht="12.75" x14ac:dyDescent="0.2">
      <c r="K888" s="6"/>
      <c r="L888" s="6"/>
      <c r="O888" s="4" t="str">
        <f ca="1">IFERROR(__xludf.DUMMYFUNCTION("TEXTJOIN("","", TRUE, FILTER($E$2:$E1000 &amp; $C$2:$C1000, $A$2:$A1000=A888, $B$2:$B1000=B888, $D$2:$D1000&lt;&gt;D888))"),"#N/A")</f>
        <v>#N/A</v>
      </c>
    </row>
    <row r="889" spans="11:15" ht="12.75" x14ac:dyDescent="0.2">
      <c r="K889" s="6"/>
      <c r="L889" s="6"/>
      <c r="O889" s="4" t="str">
        <f ca="1">IFERROR(__xludf.DUMMYFUNCTION("TEXTJOIN("","", TRUE, FILTER($E$2:$E1000 &amp; $C$2:$C1000, $A$2:$A1000=A889, $B$2:$B1000=B889, $D$2:$D1000&lt;&gt;D889))"),"#N/A")</f>
        <v>#N/A</v>
      </c>
    </row>
    <row r="890" spans="11:15" ht="12.75" x14ac:dyDescent="0.2">
      <c r="K890" s="6"/>
      <c r="L890" s="6"/>
      <c r="O890" s="4" t="str">
        <f ca="1">IFERROR(__xludf.DUMMYFUNCTION("TEXTJOIN("","", TRUE, FILTER($E$2:$E1000 &amp; $C$2:$C1000, $A$2:$A1000=A890, $B$2:$B1000=B890, $D$2:$D1000&lt;&gt;D890))"),"#N/A")</f>
        <v>#N/A</v>
      </c>
    </row>
    <row r="891" spans="11:15" ht="12.75" x14ac:dyDescent="0.2">
      <c r="K891" s="6"/>
      <c r="L891" s="6"/>
      <c r="O891" s="4" t="str">
        <f ca="1">IFERROR(__xludf.DUMMYFUNCTION("TEXTJOIN("","", TRUE, FILTER($E$2:$E1000 &amp; $C$2:$C1000, $A$2:$A1000=A891, $B$2:$B1000=B891, $D$2:$D1000&lt;&gt;D891))"),"#N/A")</f>
        <v>#N/A</v>
      </c>
    </row>
    <row r="892" spans="11:15" ht="12.75" x14ac:dyDescent="0.2">
      <c r="K892" s="6"/>
      <c r="L892" s="6"/>
      <c r="O892" s="4" t="str">
        <f ca="1">IFERROR(__xludf.DUMMYFUNCTION("TEXTJOIN("","", TRUE, FILTER($E$2:$E1000 &amp; $C$2:$C1000, $A$2:$A1000=A892, $B$2:$B1000=B892, $D$2:$D1000&lt;&gt;D892))"),"#N/A")</f>
        <v>#N/A</v>
      </c>
    </row>
    <row r="893" spans="11:15" ht="12.75" x14ac:dyDescent="0.2">
      <c r="K893" s="6"/>
      <c r="L893" s="6"/>
      <c r="O893" s="4" t="str">
        <f ca="1">IFERROR(__xludf.DUMMYFUNCTION("TEXTJOIN("","", TRUE, FILTER($E$2:$E1000 &amp; $C$2:$C1000, $A$2:$A1000=A893, $B$2:$B1000=B893, $D$2:$D1000&lt;&gt;D893))"),"#N/A")</f>
        <v>#N/A</v>
      </c>
    </row>
    <row r="894" spans="11:15" ht="12.75" x14ac:dyDescent="0.2">
      <c r="K894" s="6"/>
      <c r="L894" s="6"/>
      <c r="O894" s="4" t="str">
        <f ca="1">IFERROR(__xludf.DUMMYFUNCTION("TEXTJOIN("","", TRUE, FILTER($E$2:$E1000 &amp; $C$2:$C1000, $A$2:$A1000=A894, $B$2:$B1000=B894, $D$2:$D1000&lt;&gt;D894))"),"#N/A")</f>
        <v>#N/A</v>
      </c>
    </row>
    <row r="895" spans="11:15" ht="12.75" x14ac:dyDescent="0.2">
      <c r="K895" s="6"/>
      <c r="L895" s="6"/>
      <c r="O895" s="4" t="str">
        <f ca="1">IFERROR(__xludf.DUMMYFUNCTION("TEXTJOIN("","", TRUE, FILTER($E$2:$E1000 &amp; $C$2:$C1000, $A$2:$A1000=A895, $B$2:$B1000=B895, $D$2:$D1000&lt;&gt;D895))"),"#N/A")</f>
        <v>#N/A</v>
      </c>
    </row>
    <row r="896" spans="11:15" ht="12.75" x14ac:dyDescent="0.2">
      <c r="K896" s="6"/>
      <c r="L896" s="6"/>
      <c r="O896" s="4" t="str">
        <f ca="1">IFERROR(__xludf.DUMMYFUNCTION("TEXTJOIN("","", TRUE, FILTER($E$2:$E1000 &amp; $C$2:$C1000, $A$2:$A1000=A896, $B$2:$B1000=B896, $D$2:$D1000&lt;&gt;D896))"),"#N/A")</f>
        <v>#N/A</v>
      </c>
    </row>
    <row r="897" spans="11:15" ht="12.75" x14ac:dyDescent="0.2">
      <c r="K897" s="6"/>
      <c r="L897" s="6"/>
      <c r="O897" s="4" t="str">
        <f ca="1">IFERROR(__xludf.DUMMYFUNCTION("TEXTJOIN("","", TRUE, FILTER($E$2:$E1000 &amp; $C$2:$C1000, $A$2:$A1000=A897, $B$2:$B1000=B897, $D$2:$D1000&lt;&gt;D897))"),"#N/A")</f>
        <v>#N/A</v>
      </c>
    </row>
    <row r="898" spans="11:15" ht="12.75" x14ac:dyDescent="0.2">
      <c r="K898" s="6"/>
      <c r="L898" s="6"/>
      <c r="O898" s="4" t="str">
        <f ca="1">IFERROR(__xludf.DUMMYFUNCTION("TEXTJOIN("","", TRUE, FILTER($E$2:$E1000 &amp; $C$2:$C1000, $A$2:$A1000=A898, $B$2:$B1000=B898, $D$2:$D1000&lt;&gt;D898))"),"#N/A")</f>
        <v>#N/A</v>
      </c>
    </row>
    <row r="899" spans="11:15" ht="12.75" x14ac:dyDescent="0.2">
      <c r="K899" s="6"/>
      <c r="L899" s="6"/>
      <c r="O899" s="4" t="str">
        <f ca="1">IFERROR(__xludf.DUMMYFUNCTION("TEXTJOIN("","", TRUE, FILTER($E$2:$E1000 &amp; $C$2:$C1000, $A$2:$A1000=A899, $B$2:$B1000=B899, $D$2:$D1000&lt;&gt;D899))"),"#N/A")</f>
        <v>#N/A</v>
      </c>
    </row>
    <row r="900" spans="11:15" ht="12.75" x14ac:dyDescent="0.2">
      <c r="K900" s="6"/>
      <c r="L900" s="6"/>
      <c r="O900" s="4" t="str">
        <f ca="1">IFERROR(__xludf.DUMMYFUNCTION("TEXTJOIN("","", TRUE, FILTER($E$2:$E1000 &amp; $C$2:$C1000, $A$2:$A1000=A900, $B$2:$B1000=B900, $D$2:$D1000&lt;&gt;D900))"),"#N/A")</f>
        <v>#N/A</v>
      </c>
    </row>
    <row r="901" spans="11:15" ht="12.75" x14ac:dyDescent="0.2">
      <c r="K901" s="6"/>
      <c r="L901" s="6"/>
      <c r="O901" s="4" t="str">
        <f ca="1">IFERROR(__xludf.DUMMYFUNCTION("TEXTJOIN("","", TRUE, FILTER($E$2:$E1000 &amp; $C$2:$C1000, $A$2:$A1000=A901, $B$2:$B1000=B901, $D$2:$D1000&lt;&gt;D901))"),"#N/A")</f>
        <v>#N/A</v>
      </c>
    </row>
    <row r="902" spans="11:15" ht="12.75" x14ac:dyDescent="0.2">
      <c r="K902" s="6"/>
      <c r="L902" s="6"/>
      <c r="O902" s="4" t="str">
        <f ca="1">IFERROR(__xludf.DUMMYFUNCTION("TEXTJOIN("","", TRUE, FILTER($E$2:$E1000 &amp; $C$2:$C1000, $A$2:$A1000=A902, $B$2:$B1000=B902, $D$2:$D1000&lt;&gt;D902))"),"#N/A")</f>
        <v>#N/A</v>
      </c>
    </row>
    <row r="903" spans="11:15" ht="12.75" x14ac:dyDescent="0.2">
      <c r="K903" s="6"/>
      <c r="L903" s="6"/>
      <c r="O903" s="4" t="str">
        <f ca="1">IFERROR(__xludf.DUMMYFUNCTION("TEXTJOIN("","", TRUE, FILTER($E$2:$E1000 &amp; $C$2:$C1000, $A$2:$A1000=A903, $B$2:$B1000=B903, $D$2:$D1000&lt;&gt;D903))"),"#N/A")</f>
        <v>#N/A</v>
      </c>
    </row>
    <row r="904" spans="11:15" ht="12.75" x14ac:dyDescent="0.2">
      <c r="K904" s="6"/>
      <c r="L904" s="6"/>
      <c r="O904" s="4" t="str">
        <f ca="1">IFERROR(__xludf.DUMMYFUNCTION("TEXTJOIN("","", TRUE, FILTER($E$2:$E1000 &amp; $C$2:$C1000, $A$2:$A1000=A904, $B$2:$B1000=B904, $D$2:$D1000&lt;&gt;D904))"),"#N/A")</f>
        <v>#N/A</v>
      </c>
    </row>
    <row r="905" spans="11:15" ht="12.75" x14ac:dyDescent="0.2">
      <c r="K905" s="6"/>
      <c r="L905" s="6"/>
      <c r="O905" s="4" t="str">
        <f ca="1">IFERROR(__xludf.DUMMYFUNCTION("TEXTJOIN("","", TRUE, FILTER($E$2:$E1000 &amp; $C$2:$C1000, $A$2:$A1000=A905, $B$2:$B1000=B905, $D$2:$D1000&lt;&gt;D905))"),"#N/A")</f>
        <v>#N/A</v>
      </c>
    </row>
    <row r="906" spans="11:15" ht="12.75" x14ac:dyDescent="0.2">
      <c r="K906" s="6"/>
      <c r="L906" s="6"/>
      <c r="O906" s="4" t="str">
        <f ca="1">IFERROR(__xludf.DUMMYFUNCTION("TEXTJOIN("","", TRUE, FILTER($E$2:$E1000 &amp; $C$2:$C1000, $A$2:$A1000=A906, $B$2:$B1000=B906, $D$2:$D1000&lt;&gt;D906))"),"#N/A")</f>
        <v>#N/A</v>
      </c>
    </row>
    <row r="907" spans="11:15" ht="12.75" x14ac:dyDescent="0.2">
      <c r="K907" s="6"/>
      <c r="L907" s="6"/>
      <c r="O907" s="4" t="str">
        <f ca="1">IFERROR(__xludf.DUMMYFUNCTION("TEXTJOIN("","", TRUE, FILTER($E$2:$E1000 &amp; $C$2:$C1000, $A$2:$A1000=A907, $B$2:$B1000=B907, $D$2:$D1000&lt;&gt;D907))"),"#N/A")</f>
        <v>#N/A</v>
      </c>
    </row>
    <row r="908" spans="11:15" ht="12.75" x14ac:dyDescent="0.2">
      <c r="K908" s="6"/>
      <c r="L908" s="6"/>
      <c r="O908" s="4" t="str">
        <f ca="1">IFERROR(__xludf.DUMMYFUNCTION("TEXTJOIN("","", TRUE, FILTER($E$2:$E1000 &amp; $C$2:$C1000, $A$2:$A1000=A908, $B$2:$B1000=B908, $D$2:$D1000&lt;&gt;D908))"),"#N/A")</f>
        <v>#N/A</v>
      </c>
    </row>
    <row r="909" spans="11:15" ht="12.75" x14ac:dyDescent="0.2">
      <c r="K909" s="6"/>
      <c r="L909" s="6"/>
      <c r="O909" s="4" t="str">
        <f ca="1">IFERROR(__xludf.DUMMYFUNCTION("TEXTJOIN("","", TRUE, FILTER($E$2:$E1000 &amp; $C$2:$C1000, $A$2:$A1000=A909, $B$2:$B1000=B909, $D$2:$D1000&lt;&gt;D909))"),"#N/A")</f>
        <v>#N/A</v>
      </c>
    </row>
    <row r="910" spans="11:15" ht="12.75" x14ac:dyDescent="0.2">
      <c r="K910" s="6"/>
      <c r="L910" s="6"/>
      <c r="O910" s="4" t="str">
        <f ca="1">IFERROR(__xludf.DUMMYFUNCTION("TEXTJOIN("","", TRUE, FILTER($E$2:$E1000 &amp; $C$2:$C1000, $A$2:$A1000=A910, $B$2:$B1000=B910, $D$2:$D1000&lt;&gt;D910))"),"#N/A")</f>
        <v>#N/A</v>
      </c>
    </row>
    <row r="911" spans="11:15" ht="12.75" x14ac:dyDescent="0.2">
      <c r="K911" s="6"/>
      <c r="L911" s="6"/>
      <c r="O911" s="4" t="str">
        <f ca="1">IFERROR(__xludf.DUMMYFUNCTION("TEXTJOIN("","", TRUE, FILTER($E$2:$E1000 &amp; $C$2:$C1000, $A$2:$A1000=A911, $B$2:$B1000=B911, $D$2:$D1000&lt;&gt;D911))"),"#N/A")</f>
        <v>#N/A</v>
      </c>
    </row>
    <row r="912" spans="11:15" ht="12.75" x14ac:dyDescent="0.2">
      <c r="K912" s="6"/>
      <c r="L912" s="6"/>
      <c r="O912" s="4" t="str">
        <f ca="1">IFERROR(__xludf.DUMMYFUNCTION("TEXTJOIN("","", TRUE, FILTER($E$2:$E1000 &amp; $C$2:$C1000, $A$2:$A1000=A912, $B$2:$B1000=B912, $D$2:$D1000&lt;&gt;D912))"),"#N/A")</f>
        <v>#N/A</v>
      </c>
    </row>
    <row r="913" spans="11:15" ht="12.75" x14ac:dyDescent="0.2">
      <c r="K913" s="6"/>
      <c r="L913" s="6"/>
      <c r="O913" s="4" t="str">
        <f ca="1">IFERROR(__xludf.DUMMYFUNCTION("TEXTJOIN("","", TRUE, FILTER($E$2:$E1000 &amp; $C$2:$C1000, $A$2:$A1000=A913, $B$2:$B1000=B913, $D$2:$D1000&lt;&gt;D913))"),"#N/A")</f>
        <v>#N/A</v>
      </c>
    </row>
    <row r="914" spans="11:15" ht="12.75" x14ac:dyDescent="0.2">
      <c r="K914" s="6"/>
      <c r="L914" s="6"/>
      <c r="O914" s="4" t="str">
        <f ca="1">IFERROR(__xludf.DUMMYFUNCTION("TEXTJOIN("","", TRUE, FILTER($E$2:$E1000 &amp; $C$2:$C1000, $A$2:$A1000=A914, $B$2:$B1000=B914, $D$2:$D1000&lt;&gt;D914))"),"#N/A")</f>
        <v>#N/A</v>
      </c>
    </row>
    <row r="915" spans="11:15" ht="12.75" x14ac:dyDescent="0.2">
      <c r="K915" s="6"/>
      <c r="L915" s="6"/>
      <c r="O915" s="4" t="str">
        <f ca="1">IFERROR(__xludf.DUMMYFUNCTION("TEXTJOIN("","", TRUE, FILTER($E$2:$E1000 &amp; $C$2:$C1000, $A$2:$A1000=A915, $B$2:$B1000=B915, $D$2:$D1000&lt;&gt;D915))"),"#N/A")</f>
        <v>#N/A</v>
      </c>
    </row>
    <row r="916" spans="11:15" ht="12.75" x14ac:dyDescent="0.2">
      <c r="K916" s="6"/>
      <c r="L916" s="6"/>
      <c r="O916" s="4" t="str">
        <f ca="1">IFERROR(__xludf.DUMMYFUNCTION("TEXTJOIN("","", TRUE, FILTER($E$2:$E1000 &amp; $C$2:$C1000, $A$2:$A1000=A916, $B$2:$B1000=B916, $D$2:$D1000&lt;&gt;D916))"),"#N/A")</f>
        <v>#N/A</v>
      </c>
    </row>
    <row r="917" spans="11:15" ht="12.75" x14ac:dyDescent="0.2">
      <c r="K917" s="6"/>
      <c r="L917" s="6"/>
      <c r="O917" s="4" t="str">
        <f ca="1">IFERROR(__xludf.DUMMYFUNCTION("TEXTJOIN("","", TRUE, FILTER($E$2:$E1000 &amp; $C$2:$C1000, $A$2:$A1000=A917, $B$2:$B1000=B917, $D$2:$D1000&lt;&gt;D917))"),"#N/A")</f>
        <v>#N/A</v>
      </c>
    </row>
    <row r="918" spans="11:15" ht="12.75" x14ac:dyDescent="0.2">
      <c r="K918" s="6"/>
      <c r="L918" s="6"/>
      <c r="O918" s="4" t="str">
        <f ca="1">IFERROR(__xludf.DUMMYFUNCTION("TEXTJOIN("","", TRUE, FILTER($E$2:$E1000 &amp; $C$2:$C1000, $A$2:$A1000=A918, $B$2:$B1000=B918, $D$2:$D1000&lt;&gt;D918))"),"#N/A")</f>
        <v>#N/A</v>
      </c>
    </row>
    <row r="919" spans="11:15" ht="12.75" x14ac:dyDescent="0.2">
      <c r="K919" s="6"/>
      <c r="L919" s="6"/>
      <c r="O919" s="4" t="str">
        <f ca="1">IFERROR(__xludf.DUMMYFUNCTION("TEXTJOIN("","", TRUE, FILTER($E$2:$E1000 &amp; $C$2:$C1000, $A$2:$A1000=A919, $B$2:$B1000=B919, $D$2:$D1000&lt;&gt;D919))"),"#N/A")</f>
        <v>#N/A</v>
      </c>
    </row>
    <row r="920" spans="11:15" ht="12.75" x14ac:dyDescent="0.2">
      <c r="K920" s="6"/>
      <c r="L920" s="6"/>
      <c r="O920" s="4" t="str">
        <f ca="1">IFERROR(__xludf.DUMMYFUNCTION("TEXTJOIN("","", TRUE, FILTER($E$2:$E1000 &amp; $C$2:$C1000, $A$2:$A1000=A920, $B$2:$B1000=B920, $D$2:$D1000&lt;&gt;D920))"),"#N/A")</f>
        <v>#N/A</v>
      </c>
    </row>
    <row r="921" spans="11:15" ht="12.75" x14ac:dyDescent="0.2">
      <c r="K921" s="6"/>
      <c r="L921" s="6"/>
      <c r="O921" s="4" t="str">
        <f ca="1">IFERROR(__xludf.DUMMYFUNCTION("TEXTJOIN("","", TRUE, FILTER($E$2:$E1000 &amp; $C$2:$C1000, $A$2:$A1000=A921, $B$2:$B1000=B921, $D$2:$D1000&lt;&gt;D921))"),"#N/A")</f>
        <v>#N/A</v>
      </c>
    </row>
    <row r="922" spans="11:15" ht="12.75" x14ac:dyDescent="0.2">
      <c r="K922" s="6"/>
      <c r="L922" s="6"/>
      <c r="O922" s="4" t="str">
        <f ca="1">IFERROR(__xludf.DUMMYFUNCTION("TEXTJOIN("","", TRUE, FILTER($E$2:$E1000 &amp; $C$2:$C1000, $A$2:$A1000=A922, $B$2:$B1000=B922, $D$2:$D1000&lt;&gt;D922))"),"#N/A")</f>
        <v>#N/A</v>
      </c>
    </row>
    <row r="923" spans="11:15" ht="12.75" x14ac:dyDescent="0.2">
      <c r="K923" s="6"/>
      <c r="L923" s="6"/>
      <c r="O923" s="4" t="str">
        <f ca="1">IFERROR(__xludf.DUMMYFUNCTION("TEXTJOIN("","", TRUE, FILTER($E$2:$E1000 &amp; $C$2:$C1000, $A$2:$A1000=A923, $B$2:$B1000=B923, $D$2:$D1000&lt;&gt;D923))"),"#N/A")</f>
        <v>#N/A</v>
      </c>
    </row>
    <row r="924" spans="11:15" ht="12.75" x14ac:dyDescent="0.2">
      <c r="K924" s="6"/>
      <c r="L924" s="6"/>
      <c r="O924" s="4" t="str">
        <f ca="1">IFERROR(__xludf.DUMMYFUNCTION("TEXTJOIN("","", TRUE, FILTER($E$2:$E1000 &amp; $C$2:$C1000, $A$2:$A1000=A924, $B$2:$B1000=B924, $D$2:$D1000&lt;&gt;D924))"),"#N/A")</f>
        <v>#N/A</v>
      </c>
    </row>
    <row r="925" spans="11:15" ht="12.75" x14ac:dyDescent="0.2">
      <c r="K925" s="6"/>
      <c r="L925" s="6"/>
      <c r="O925" s="4" t="str">
        <f ca="1">IFERROR(__xludf.DUMMYFUNCTION("TEXTJOIN("","", TRUE, FILTER($E$2:$E1000 &amp; $C$2:$C1000, $A$2:$A1000=A925, $B$2:$B1000=B925, $D$2:$D1000&lt;&gt;D925))"),"#N/A")</f>
        <v>#N/A</v>
      </c>
    </row>
    <row r="926" spans="11:15" ht="12.75" x14ac:dyDescent="0.2">
      <c r="K926" s="6"/>
      <c r="L926" s="6"/>
      <c r="O926" s="4" t="str">
        <f ca="1">IFERROR(__xludf.DUMMYFUNCTION("TEXTJOIN("","", TRUE, FILTER($E$2:$E1000 &amp; $C$2:$C1000, $A$2:$A1000=A926, $B$2:$B1000=B926, $D$2:$D1000&lt;&gt;D926))"),"#N/A")</f>
        <v>#N/A</v>
      </c>
    </row>
    <row r="927" spans="11:15" ht="12.75" x14ac:dyDescent="0.2">
      <c r="K927" s="6"/>
      <c r="L927" s="6"/>
      <c r="O927" s="4" t="str">
        <f ca="1">IFERROR(__xludf.DUMMYFUNCTION("TEXTJOIN("","", TRUE, FILTER($E$2:$E1000 &amp; $C$2:$C1000, $A$2:$A1000=A927, $B$2:$B1000=B927, $D$2:$D1000&lt;&gt;D927))"),"#N/A")</f>
        <v>#N/A</v>
      </c>
    </row>
    <row r="928" spans="11:15" ht="12.75" x14ac:dyDescent="0.2">
      <c r="K928" s="6"/>
      <c r="L928" s="6"/>
      <c r="O928" s="4" t="str">
        <f ca="1">IFERROR(__xludf.DUMMYFUNCTION("TEXTJOIN("","", TRUE, FILTER($E$2:$E1000 &amp; $C$2:$C1000, $A$2:$A1000=A928, $B$2:$B1000=B928, $D$2:$D1000&lt;&gt;D928))"),"#N/A")</f>
        <v>#N/A</v>
      </c>
    </row>
    <row r="929" spans="11:15" ht="12.75" x14ac:dyDescent="0.2">
      <c r="K929" s="6"/>
      <c r="L929" s="6"/>
      <c r="O929" s="4" t="str">
        <f ca="1">IFERROR(__xludf.DUMMYFUNCTION("TEXTJOIN("","", TRUE, FILTER($E$2:$E1000 &amp; $C$2:$C1000, $A$2:$A1000=A929, $B$2:$B1000=B929, $D$2:$D1000&lt;&gt;D929))"),"#N/A")</f>
        <v>#N/A</v>
      </c>
    </row>
    <row r="930" spans="11:15" ht="12.75" x14ac:dyDescent="0.2">
      <c r="K930" s="6"/>
      <c r="L930" s="6"/>
      <c r="O930" s="4" t="str">
        <f ca="1">IFERROR(__xludf.DUMMYFUNCTION("TEXTJOIN("","", TRUE, FILTER($E$2:$E1000 &amp; $C$2:$C1000, $A$2:$A1000=A930, $B$2:$B1000=B930, $D$2:$D1000&lt;&gt;D930))"),"#N/A")</f>
        <v>#N/A</v>
      </c>
    </row>
    <row r="931" spans="11:15" ht="12.75" x14ac:dyDescent="0.2">
      <c r="K931" s="6"/>
      <c r="L931" s="6"/>
      <c r="O931" s="4" t="str">
        <f ca="1">IFERROR(__xludf.DUMMYFUNCTION("TEXTJOIN("","", TRUE, FILTER($E$2:$E1000 &amp; $C$2:$C1000, $A$2:$A1000=A931, $B$2:$B1000=B931, $D$2:$D1000&lt;&gt;D931))"),"#N/A")</f>
        <v>#N/A</v>
      </c>
    </row>
    <row r="932" spans="11:15" ht="12.75" x14ac:dyDescent="0.2">
      <c r="K932" s="6"/>
      <c r="L932" s="6"/>
      <c r="O932" s="4" t="str">
        <f ca="1">IFERROR(__xludf.DUMMYFUNCTION("TEXTJOIN("","", TRUE, FILTER($E$2:$E1000 &amp; $C$2:$C1000, $A$2:$A1000=A932, $B$2:$B1000=B932, $D$2:$D1000&lt;&gt;D932))"),"#N/A")</f>
        <v>#N/A</v>
      </c>
    </row>
    <row r="933" spans="11:15" ht="12.75" x14ac:dyDescent="0.2">
      <c r="K933" s="6"/>
      <c r="L933" s="6"/>
      <c r="O933" s="4" t="str">
        <f ca="1">IFERROR(__xludf.DUMMYFUNCTION("TEXTJOIN("","", TRUE, FILTER($E$2:$E1000 &amp; $C$2:$C1000, $A$2:$A1000=A933, $B$2:$B1000=B933, $D$2:$D1000&lt;&gt;D933))"),"#N/A")</f>
        <v>#N/A</v>
      </c>
    </row>
    <row r="934" spans="11:15" ht="12.75" x14ac:dyDescent="0.2">
      <c r="K934" s="6"/>
      <c r="L934" s="6"/>
      <c r="O934" s="4" t="str">
        <f ca="1">IFERROR(__xludf.DUMMYFUNCTION("TEXTJOIN("","", TRUE, FILTER($E$2:$E1000 &amp; $C$2:$C1000, $A$2:$A1000=A934, $B$2:$B1000=B934, $D$2:$D1000&lt;&gt;D934))"),"#N/A")</f>
        <v>#N/A</v>
      </c>
    </row>
    <row r="935" spans="11:15" ht="12.75" x14ac:dyDescent="0.2">
      <c r="K935" s="6"/>
      <c r="L935" s="6"/>
      <c r="O935" s="4" t="str">
        <f ca="1">IFERROR(__xludf.DUMMYFUNCTION("TEXTJOIN("","", TRUE, FILTER($E$2:$E1000 &amp; $C$2:$C1000, $A$2:$A1000=A935, $B$2:$B1000=B935, $D$2:$D1000&lt;&gt;D935))"),"#N/A")</f>
        <v>#N/A</v>
      </c>
    </row>
    <row r="936" spans="11:15" ht="12.75" x14ac:dyDescent="0.2">
      <c r="K936" s="6"/>
      <c r="L936" s="6"/>
      <c r="O936" s="4" t="str">
        <f ca="1">IFERROR(__xludf.DUMMYFUNCTION("TEXTJOIN("","", TRUE, FILTER($E$2:$E1000 &amp; $C$2:$C1000, $A$2:$A1000=A936, $B$2:$B1000=B936, $D$2:$D1000&lt;&gt;D936))"),"#N/A")</f>
        <v>#N/A</v>
      </c>
    </row>
    <row r="937" spans="11:15" ht="12.75" x14ac:dyDescent="0.2">
      <c r="K937" s="6"/>
      <c r="L937" s="6"/>
      <c r="O937" s="4" t="str">
        <f ca="1">IFERROR(__xludf.DUMMYFUNCTION("TEXTJOIN("","", TRUE, FILTER($E$2:$E1000 &amp; $C$2:$C1000, $A$2:$A1000=A937, $B$2:$B1000=B937, $D$2:$D1000&lt;&gt;D937))"),"#N/A")</f>
        <v>#N/A</v>
      </c>
    </row>
    <row r="938" spans="11:15" ht="12.75" x14ac:dyDescent="0.2">
      <c r="K938" s="6"/>
      <c r="L938" s="6"/>
      <c r="O938" s="4" t="str">
        <f ca="1">IFERROR(__xludf.DUMMYFUNCTION("TEXTJOIN("","", TRUE, FILTER($E$2:$E1000 &amp; $C$2:$C1000, $A$2:$A1000=A938, $B$2:$B1000=B938, $D$2:$D1000&lt;&gt;D938))"),"#N/A")</f>
        <v>#N/A</v>
      </c>
    </row>
    <row r="939" spans="11:15" ht="12.75" x14ac:dyDescent="0.2">
      <c r="K939" s="6"/>
      <c r="L939" s="6"/>
      <c r="O939" s="4" t="str">
        <f ca="1">IFERROR(__xludf.DUMMYFUNCTION("TEXTJOIN("","", TRUE, FILTER($E$2:$E1000 &amp; $C$2:$C1000, $A$2:$A1000=A939, $B$2:$B1000=B939, $D$2:$D1000&lt;&gt;D939))"),"#N/A")</f>
        <v>#N/A</v>
      </c>
    </row>
    <row r="940" spans="11:15" ht="12.75" x14ac:dyDescent="0.2">
      <c r="K940" s="6"/>
      <c r="L940" s="6"/>
      <c r="O940" s="4" t="str">
        <f ca="1">IFERROR(__xludf.DUMMYFUNCTION("TEXTJOIN("","", TRUE, FILTER($E$2:$E1000 &amp; $C$2:$C1000, $A$2:$A1000=A940, $B$2:$B1000=B940, $D$2:$D1000&lt;&gt;D940))"),"#N/A")</f>
        <v>#N/A</v>
      </c>
    </row>
    <row r="941" spans="11:15" ht="12.75" x14ac:dyDescent="0.2">
      <c r="K941" s="6"/>
      <c r="L941" s="6"/>
      <c r="O941" s="4" t="str">
        <f ca="1">IFERROR(__xludf.DUMMYFUNCTION("TEXTJOIN("","", TRUE, FILTER($E$2:$E1000 &amp; $C$2:$C1000, $A$2:$A1000=A941, $B$2:$B1000=B941, $D$2:$D1000&lt;&gt;D941))"),"#N/A")</f>
        <v>#N/A</v>
      </c>
    </row>
    <row r="942" spans="11:15" ht="12.75" x14ac:dyDescent="0.2">
      <c r="K942" s="6"/>
      <c r="L942" s="6"/>
      <c r="O942" s="4" t="str">
        <f ca="1">IFERROR(__xludf.DUMMYFUNCTION("TEXTJOIN("","", TRUE, FILTER($E$2:$E1000 &amp; $C$2:$C1000, $A$2:$A1000=A942, $B$2:$B1000=B942, $D$2:$D1000&lt;&gt;D942))"),"#N/A")</f>
        <v>#N/A</v>
      </c>
    </row>
    <row r="943" spans="11:15" ht="12.75" x14ac:dyDescent="0.2">
      <c r="K943" s="6"/>
      <c r="L943" s="6"/>
      <c r="O943" s="4" t="str">
        <f ca="1">IFERROR(__xludf.DUMMYFUNCTION("TEXTJOIN("","", TRUE, FILTER($E$2:$E1000 &amp; $C$2:$C1000, $A$2:$A1000=A943, $B$2:$B1000=B943, $D$2:$D1000&lt;&gt;D943))"),"#N/A")</f>
        <v>#N/A</v>
      </c>
    </row>
    <row r="944" spans="11:15" ht="12.75" x14ac:dyDescent="0.2">
      <c r="K944" s="6"/>
      <c r="L944" s="6"/>
      <c r="O944" s="4" t="str">
        <f ca="1">IFERROR(__xludf.DUMMYFUNCTION("TEXTJOIN("","", TRUE, FILTER($E$2:$E1000 &amp; $C$2:$C1000, $A$2:$A1000=A944, $B$2:$B1000=B944, $D$2:$D1000&lt;&gt;D944))"),"#N/A")</f>
        <v>#N/A</v>
      </c>
    </row>
    <row r="945" spans="11:15" ht="12.75" x14ac:dyDescent="0.2">
      <c r="K945" s="6"/>
      <c r="L945" s="6"/>
      <c r="O945" s="4" t="str">
        <f ca="1">IFERROR(__xludf.DUMMYFUNCTION("TEXTJOIN("","", TRUE, FILTER($E$2:$E1000 &amp; $C$2:$C1000, $A$2:$A1000=A945, $B$2:$B1000=B945, $D$2:$D1000&lt;&gt;D945))"),"#N/A")</f>
        <v>#N/A</v>
      </c>
    </row>
    <row r="946" spans="11:15" ht="12.75" x14ac:dyDescent="0.2">
      <c r="K946" s="6"/>
      <c r="L946" s="6"/>
      <c r="O946" s="4" t="str">
        <f ca="1">IFERROR(__xludf.DUMMYFUNCTION("TEXTJOIN("","", TRUE, FILTER($E$2:$E1000 &amp; $C$2:$C1000, $A$2:$A1000=A946, $B$2:$B1000=B946, $D$2:$D1000&lt;&gt;D946))"),"#N/A")</f>
        <v>#N/A</v>
      </c>
    </row>
    <row r="947" spans="11:15" ht="12.75" x14ac:dyDescent="0.2">
      <c r="K947" s="6"/>
      <c r="L947" s="6"/>
      <c r="O947" s="4" t="str">
        <f ca="1">IFERROR(__xludf.DUMMYFUNCTION("TEXTJOIN("","", TRUE, FILTER($E$2:$E1000 &amp; $C$2:$C1000, $A$2:$A1000=A947, $B$2:$B1000=B947, $D$2:$D1000&lt;&gt;D947))"),"#N/A")</f>
        <v>#N/A</v>
      </c>
    </row>
    <row r="948" spans="11:15" ht="12.75" x14ac:dyDescent="0.2">
      <c r="K948" s="6"/>
      <c r="L948" s="6"/>
      <c r="O948" s="4" t="str">
        <f ca="1">IFERROR(__xludf.DUMMYFUNCTION("TEXTJOIN("","", TRUE, FILTER($E$2:$E1000 &amp; $C$2:$C1000, $A$2:$A1000=A948, $B$2:$B1000=B948, $D$2:$D1000&lt;&gt;D948))"),"#N/A")</f>
        <v>#N/A</v>
      </c>
    </row>
    <row r="949" spans="11:15" ht="12.75" x14ac:dyDescent="0.2">
      <c r="K949" s="6"/>
      <c r="L949" s="6"/>
      <c r="O949" s="4" t="str">
        <f ca="1">IFERROR(__xludf.DUMMYFUNCTION("TEXTJOIN("","", TRUE, FILTER($E$2:$E1000 &amp; $C$2:$C1000, $A$2:$A1000=A949, $B$2:$B1000=B949, $D$2:$D1000&lt;&gt;D949))"),"#N/A")</f>
        <v>#N/A</v>
      </c>
    </row>
    <row r="950" spans="11:15" ht="12.75" x14ac:dyDescent="0.2">
      <c r="K950" s="6"/>
      <c r="L950" s="6"/>
      <c r="O950" s="4" t="str">
        <f ca="1">IFERROR(__xludf.DUMMYFUNCTION("TEXTJOIN("","", TRUE, FILTER($E$2:$E1000 &amp; $C$2:$C1000, $A$2:$A1000=A950, $B$2:$B1000=B950, $D$2:$D1000&lt;&gt;D950))"),"#N/A")</f>
        <v>#N/A</v>
      </c>
    </row>
    <row r="951" spans="11:15" ht="12.75" x14ac:dyDescent="0.2">
      <c r="K951" s="6"/>
      <c r="L951" s="6"/>
      <c r="O951" s="4" t="str">
        <f ca="1">IFERROR(__xludf.DUMMYFUNCTION("TEXTJOIN("","", TRUE, FILTER($E$2:$E1000 &amp; $C$2:$C1000, $A$2:$A1000=A951, $B$2:$B1000=B951, $D$2:$D1000&lt;&gt;D951))"),"#N/A")</f>
        <v>#N/A</v>
      </c>
    </row>
    <row r="952" spans="11:15" ht="12.75" x14ac:dyDescent="0.2">
      <c r="K952" s="6"/>
      <c r="L952" s="6"/>
      <c r="O952" s="4" t="str">
        <f ca="1">IFERROR(__xludf.DUMMYFUNCTION("TEXTJOIN("","", TRUE, FILTER($E$2:$E1000 &amp; $C$2:$C1000, $A$2:$A1000=A952, $B$2:$B1000=B952, $D$2:$D1000&lt;&gt;D952))"),"#N/A")</f>
        <v>#N/A</v>
      </c>
    </row>
    <row r="953" spans="11:15" ht="12.75" x14ac:dyDescent="0.2">
      <c r="K953" s="6"/>
      <c r="L953" s="6"/>
      <c r="O953" s="4" t="str">
        <f ca="1">IFERROR(__xludf.DUMMYFUNCTION("TEXTJOIN("","", TRUE, FILTER($E$2:$E1000 &amp; $C$2:$C1000, $A$2:$A1000=A953, $B$2:$B1000=B953, $D$2:$D1000&lt;&gt;D953))"),"#N/A")</f>
        <v>#N/A</v>
      </c>
    </row>
    <row r="954" spans="11:15" ht="12.75" x14ac:dyDescent="0.2">
      <c r="K954" s="6"/>
      <c r="L954" s="6"/>
      <c r="O954" s="4" t="str">
        <f ca="1">IFERROR(__xludf.DUMMYFUNCTION("TEXTJOIN("","", TRUE, FILTER($E$2:$E1000 &amp; $C$2:$C1000, $A$2:$A1000=A954, $B$2:$B1000=B954, $D$2:$D1000&lt;&gt;D954))"),"#N/A")</f>
        <v>#N/A</v>
      </c>
    </row>
    <row r="955" spans="11:15" ht="12.75" x14ac:dyDescent="0.2">
      <c r="K955" s="6"/>
      <c r="L955" s="6"/>
      <c r="O955" s="4" t="str">
        <f ca="1">IFERROR(__xludf.DUMMYFUNCTION("TEXTJOIN("","", TRUE, FILTER($E$2:$E1000 &amp; $C$2:$C1000, $A$2:$A1000=A955, $B$2:$B1000=B955, $D$2:$D1000&lt;&gt;D955))"),"#N/A")</f>
        <v>#N/A</v>
      </c>
    </row>
    <row r="956" spans="11:15" ht="12.75" x14ac:dyDescent="0.2">
      <c r="K956" s="6"/>
      <c r="L956" s="6"/>
      <c r="O956" s="4" t="str">
        <f ca="1">IFERROR(__xludf.DUMMYFUNCTION("TEXTJOIN("","", TRUE, FILTER($E$2:$E1000 &amp; $C$2:$C1000, $A$2:$A1000=A956, $B$2:$B1000=B956, $D$2:$D1000&lt;&gt;D956))"),"#N/A")</f>
        <v>#N/A</v>
      </c>
    </row>
    <row r="957" spans="11:15" ht="12.75" x14ac:dyDescent="0.2">
      <c r="K957" s="6"/>
      <c r="L957" s="6"/>
      <c r="O957" s="4" t="str">
        <f ca="1">IFERROR(__xludf.DUMMYFUNCTION("TEXTJOIN("","", TRUE, FILTER($E$2:$E1000 &amp; $C$2:$C1000, $A$2:$A1000=A957, $B$2:$B1000=B957, $D$2:$D1000&lt;&gt;D957))"),"#N/A")</f>
        <v>#N/A</v>
      </c>
    </row>
    <row r="958" spans="11:15" ht="12.75" x14ac:dyDescent="0.2">
      <c r="K958" s="6"/>
      <c r="L958" s="6"/>
      <c r="O958" s="4" t="str">
        <f ca="1">IFERROR(__xludf.DUMMYFUNCTION("TEXTJOIN("","", TRUE, FILTER($E$2:$E1000 &amp; $C$2:$C1000, $A$2:$A1000=A958, $B$2:$B1000=B958, $D$2:$D1000&lt;&gt;D958))"),"#N/A")</f>
        <v>#N/A</v>
      </c>
    </row>
    <row r="959" spans="11:15" ht="12.75" x14ac:dyDescent="0.2">
      <c r="K959" s="6"/>
      <c r="L959" s="6"/>
      <c r="O959" s="4" t="str">
        <f ca="1">IFERROR(__xludf.DUMMYFUNCTION("TEXTJOIN("","", TRUE, FILTER($E$2:$E1000 &amp; $C$2:$C1000, $A$2:$A1000=A959, $B$2:$B1000=B959, $D$2:$D1000&lt;&gt;D959))"),"#N/A")</f>
        <v>#N/A</v>
      </c>
    </row>
    <row r="960" spans="11:15" ht="12.75" x14ac:dyDescent="0.2">
      <c r="K960" s="6"/>
      <c r="L960" s="6"/>
      <c r="O960" s="4" t="str">
        <f ca="1">IFERROR(__xludf.DUMMYFUNCTION("TEXTJOIN("","", TRUE, FILTER($E$2:$E1000 &amp; $C$2:$C1000, $A$2:$A1000=A960, $B$2:$B1000=B960, $D$2:$D1000&lt;&gt;D960))"),"#N/A")</f>
        <v>#N/A</v>
      </c>
    </row>
    <row r="961" spans="11:15" ht="12.75" x14ac:dyDescent="0.2">
      <c r="K961" s="6"/>
      <c r="L961" s="6"/>
      <c r="O961" s="4" t="str">
        <f ca="1">IFERROR(__xludf.DUMMYFUNCTION("TEXTJOIN("","", TRUE, FILTER($E$2:$E1000 &amp; $C$2:$C1000, $A$2:$A1000=A961, $B$2:$B1000=B961, $D$2:$D1000&lt;&gt;D961))"),"#N/A")</f>
        <v>#N/A</v>
      </c>
    </row>
    <row r="962" spans="11:15" ht="12.75" x14ac:dyDescent="0.2">
      <c r="K962" s="6"/>
      <c r="L962" s="6"/>
      <c r="O962" s="4" t="str">
        <f ca="1">IFERROR(__xludf.DUMMYFUNCTION("TEXTJOIN("","", TRUE, FILTER($E$2:$E1000 &amp; $C$2:$C1000, $A$2:$A1000=A962, $B$2:$B1000=B962, $D$2:$D1000&lt;&gt;D962))"),"#N/A")</f>
        <v>#N/A</v>
      </c>
    </row>
    <row r="963" spans="11:15" ht="12.75" x14ac:dyDescent="0.2">
      <c r="K963" s="6"/>
      <c r="L963" s="6"/>
      <c r="O963" s="4" t="str">
        <f ca="1">IFERROR(__xludf.DUMMYFUNCTION("TEXTJOIN("","", TRUE, FILTER($E$2:$E1000 &amp; $C$2:$C1000, $A$2:$A1000=A963, $B$2:$B1000=B963, $D$2:$D1000&lt;&gt;D963))"),"#N/A")</f>
        <v>#N/A</v>
      </c>
    </row>
    <row r="964" spans="11:15" ht="12.75" x14ac:dyDescent="0.2">
      <c r="K964" s="6"/>
      <c r="L964" s="6"/>
      <c r="O964" s="4" t="str">
        <f ca="1">IFERROR(__xludf.DUMMYFUNCTION("TEXTJOIN("","", TRUE, FILTER($E$2:$E1000 &amp; $C$2:$C1000, $A$2:$A1000=A964, $B$2:$B1000=B964, $D$2:$D1000&lt;&gt;D964))"),"#N/A")</f>
        <v>#N/A</v>
      </c>
    </row>
    <row r="965" spans="11:15" ht="12.75" x14ac:dyDescent="0.2">
      <c r="K965" s="6"/>
      <c r="L965" s="6"/>
      <c r="O965" s="4" t="str">
        <f ca="1">IFERROR(__xludf.DUMMYFUNCTION("TEXTJOIN("","", TRUE, FILTER($E$2:$E1000 &amp; $C$2:$C1000, $A$2:$A1000=A965, $B$2:$B1000=B965, $D$2:$D1000&lt;&gt;D965))"),"#N/A")</f>
        <v>#N/A</v>
      </c>
    </row>
    <row r="966" spans="11:15" ht="12.75" x14ac:dyDescent="0.2">
      <c r="K966" s="6"/>
      <c r="L966" s="6"/>
      <c r="O966" s="4" t="str">
        <f ca="1">IFERROR(__xludf.DUMMYFUNCTION("TEXTJOIN("","", TRUE, FILTER($E$2:$E1000 &amp; $C$2:$C1000, $A$2:$A1000=A966, $B$2:$B1000=B966, $D$2:$D1000&lt;&gt;D966))"),"#N/A")</f>
        <v>#N/A</v>
      </c>
    </row>
    <row r="967" spans="11:15" ht="12.75" x14ac:dyDescent="0.2">
      <c r="K967" s="6"/>
      <c r="L967" s="6"/>
      <c r="O967" s="4" t="str">
        <f ca="1">IFERROR(__xludf.DUMMYFUNCTION("TEXTJOIN("","", TRUE, FILTER($E$2:$E1000 &amp; $C$2:$C1000, $A$2:$A1000=A967, $B$2:$B1000=B967, $D$2:$D1000&lt;&gt;D967))"),"#N/A")</f>
        <v>#N/A</v>
      </c>
    </row>
    <row r="968" spans="11:15" ht="12.75" x14ac:dyDescent="0.2">
      <c r="K968" s="6"/>
      <c r="L968" s="6"/>
      <c r="O968" s="4" t="str">
        <f ca="1">IFERROR(__xludf.DUMMYFUNCTION("TEXTJOIN("","", TRUE, FILTER($E$2:$E1000 &amp; $C$2:$C1000, $A$2:$A1000=A968, $B$2:$B1000=B968, $D$2:$D1000&lt;&gt;D968))"),"#N/A")</f>
        <v>#N/A</v>
      </c>
    </row>
    <row r="969" spans="11:15" ht="12.75" x14ac:dyDescent="0.2">
      <c r="K969" s="6"/>
      <c r="L969" s="6"/>
      <c r="O969" s="4" t="str">
        <f ca="1">IFERROR(__xludf.DUMMYFUNCTION("TEXTJOIN("","", TRUE, FILTER($E$2:$E1000 &amp; $C$2:$C1000, $A$2:$A1000=A969, $B$2:$B1000=B969, $D$2:$D1000&lt;&gt;D969))"),"#N/A")</f>
        <v>#N/A</v>
      </c>
    </row>
    <row r="970" spans="11:15" ht="12.75" x14ac:dyDescent="0.2">
      <c r="K970" s="6"/>
      <c r="L970" s="6"/>
      <c r="O970" s="4" t="str">
        <f ca="1">IFERROR(__xludf.DUMMYFUNCTION("TEXTJOIN("","", TRUE, FILTER($E$2:$E1000 &amp; $C$2:$C1000, $A$2:$A1000=A970, $B$2:$B1000=B970, $D$2:$D1000&lt;&gt;D970))"),"#N/A")</f>
        <v>#N/A</v>
      </c>
    </row>
    <row r="971" spans="11:15" ht="12.75" x14ac:dyDescent="0.2">
      <c r="K971" s="6"/>
      <c r="L971" s="6"/>
      <c r="O971" s="4" t="str">
        <f ca="1">IFERROR(__xludf.DUMMYFUNCTION("TEXTJOIN("","", TRUE, FILTER($E$2:$E1000 &amp; $C$2:$C1000, $A$2:$A1000=A971, $B$2:$B1000=B971, $D$2:$D1000&lt;&gt;D971))"),"#N/A")</f>
        <v>#N/A</v>
      </c>
    </row>
    <row r="972" spans="11:15" ht="12.75" x14ac:dyDescent="0.2">
      <c r="K972" s="6"/>
      <c r="L972" s="6"/>
      <c r="O972" s="4" t="str">
        <f ca="1">IFERROR(__xludf.DUMMYFUNCTION("TEXTJOIN("","", TRUE, FILTER($E$2:$E1000 &amp; $C$2:$C1000, $A$2:$A1000=A972, $B$2:$B1000=B972, $D$2:$D1000&lt;&gt;D972))"),"#N/A")</f>
        <v>#N/A</v>
      </c>
    </row>
    <row r="973" spans="11:15" ht="12.75" x14ac:dyDescent="0.2">
      <c r="K973" s="6"/>
      <c r="L973" s="6"/>
      <c r="O973" s="4" t="str">
        <f ca="1">IFERROR(__xludf.DUMMYFUNCTION("TEXTJOIN("","", TRUE, FILTER($E$2:$E1000 &amp; $C$2:$C1000, $A$2:$A1000=A973, $B$2:$B1000=B973, $D$2:$D1000&lt;&gt;D973))"),"#N/A")</f>
        <v>#N/A</v>
      </c>
    </row>
    <row r="974" spans="11:15" ht="12.75" x14ac:dyDescent="0.2">
      <c r="K974" s="6"/>
      <c r="L974" s="6"/>
      <c r="O974" s="4" t="str">
        <f ca="1">IFERROR(__xludf.DUMMYFUNCTION("TEXTJOIN("","", TRUE, FILTER($E$2:$E1000 &amp; $C$2:$C1000, $A$2:$A1000=A974, $B$2:$B1000=B974, $D$2:$D1000&lt;&gt;D974))"),"#N/A")</f>
        <v>#N/A</v>
      </c>
    </row>
    <row r="975" spans="11:15" ht="12.75" x14ac:dyDescent="0.2">
      <c r="K975" s="6"/>
      <c r="L975" s="6"/>
      <c r="O975" s="4" t="str">
        <f ca="1">IFERROR(__xludf.DUMMYFUNCTION("TEXTJOIN("","", TRUE, FILTER($E$2:$E1000 &amp; $C$2:$C1000, $A$2:$A1000=A975, $B$2:$B1000=B975, $D$2:$D1000&lt;&gt;D975))"),"#N/A")</f>
        <v>#N/A</v>
      </c>
    </row>
    <row r="976" spans="11:15" ht="12.75" x14ac:dyDescent="0.2">
      <c r="K976" s="6"/>
      <c r="L976" s="6"/>
      <c r="O976" s="4" t="str">
        <f ca="1">IFERROR(__xludf.DUMMYFUNCTION("TEXTJOIN("","", TRUE, FILTER($E$2:$E1000 &amp; $C$2:$C1000, $A$2:$A1000=A976, $B$2:$B1000=B976, $D$2:$D1000&lt;&gt;D976))"),"#N/A")</f>
        <v>#N/A</v>
      </c>
    </row>
    <row r="977" spans="11:15" ht="12.75" x14ac:dyDescent="0.2">
      <c r="K977" s="6"/>
      <c r="L977" s="6"/>
      <c r="O977" s="4" t="str">
        <f ca="1">IFERROR(__xludf.DUMMYFUNCTION("TEXTJOIN("","", TRUE, FILTER($E$2:$E1000 &amp; $C$2:$C1000, $A$2:$A1000=A977, $B$2:$B1000=B977, $D$2:$D1000&lt;&gt;D977))"),"#N/A")</f>
        <v>#N/A</v>
      </c>
    </row>
    <row r="978" spans="11:15" ht="12.75" x14ac:dyDescent="0.2">
      <c r="K978" s="6"/>
      <c r="L978" s="6"/>
      <c r="O978" s="4" t="str">
        <f ca="1">IFERROR(__xludf.DUMMYFUNCTION("TEXTJOIN("","", TRUE, FILTER($E$2:$E1000 &amp; $C$2:$C1000, $A$2:$A1000=A978, $B$2:$B1000=B978, $D$2:$D1000&lt;&gt;D978))"),"#N/A")</f>
        <v>#N/A</v>
      </c>
    </row>
    <row r="979" spans="11:15" ht="12.75" x14ac:dyDescent="0.2">
      <c r="K979" s="6"/>
      <c r="L979" s="6"/>
      <c r="O979" s="4" t="str">
        <f ca="1">IFERROR(__xludf.DUMMYFUNCTION("TEXTJOIN("","", TRUE, FILTER($E$2:$E1000 &amp; $C$2:$C1000, $A$2:$A1000=A979, $B$2:$B1000=B979, $D$2:$D1000&lt;&gt;D979))"),"#N/A")</f>
        <v>#N/A</v>
      </c>
    </row>
    <row r="980" spans="11:15" ht="12.75" x14ac:dyDescent="0.2">
      <c r="K980" s="6"/>
      <c r="L980" s="6"/>
      <c r="O980" s="4" t="str">
        <f ca="1">IFERROR(__xludf.DUMMYFUNCTION("TEXTJOIN("","", TRUE, FILTER($E$2:$E1000 &amp; $C$2:$C1000, $A$2:$A1000=A980, $B$2:$B1000=B980, $D$2:$D1000&lt;&gt;D980))"),"#N/A")</f>
        <v>#N/A</v>
      </c>
    </row>
    <row r="981" spans="11:15" ht="12.75" x14ac:dyDescent="0.2">
      <c r="K981" s="6"/>
      <c r="L981" s="6"/>
      <c r="O981" s="4" t="str">
        <f ca="1">IFERROR(__xludf.DUMMYFUNCTION("TEXTJOIN("","", TRUE, FILTER($E$2:$E1000 &amp; $C$2:$C1000, $A$2:$A1000=A981, $B$2:$B1000=B981, $D$2:$D1000&lt;&gt;D981))"),"#N/A")</f>
        <v>#N/A</v>
      </c>
    </row>
    <row r="982" spans="11:15" ht="12.75" x14ac:dyDescent="0.2">
      <c r="K982" s="6"/>
      <c r="L982" s="6"/>
      <c r="O982" s="4" t="str">
        <f ca="1">IFERROR(__xludf.DUMMYFUNCTION("TEXTJOIN("","", TRUE, FILTER($E$2:$E1000 &amp; $C$2:$C1000, $A$2:$A1000=A982, $B$2:$B1000=B982, $D$2:$D1000&lt;&gt;D982))"),"#N/A")</f>
        <v>#N/A</v>
      </c>
    </row>
    <row r="983" spans="11:15" ht="12.75" x14ac:dyDescent="0.2">
      <c r="K983" s="6"/>
      <c r="L983" s="6"/>
      <c r="O983" s="4" t="str">
        <f ca="1">IFERROR(__xludf.DUMMYFUNCTION("TEXTJOIN("","", TRUE, FILTER($E$2:$E1000 &amp; $C$2:$C1000, $A$2:$A1000=A983, $B$2:$B1000=B983, $D$2:$D1000&lt;&gt;D983))"),"#N/A")</f>
        <v>#N/A</v>
      </c>
    </row>
    <row r="984" spans="11:15" ht="12.75" x14ac:dyDescent="0.2">
      <c r="K984" s="6"/>
      <c r="L984" s="6"/>
      <c r="O984" s="4" t="str">
        <f ca="1">IFERROR(__xludf.DUMMYFUNCTION("TEXTJOIN("","", TRUE, FILTER($E$2:$E1000 &amp; $C$2:$C1000, $A$2:$A1000=A984, $B$2:$B1000=B984, $D$2:$D1000&lt;&gt;D984))"),"#N/A")</f>
        <v>#N/A</v>
      </c>
    </row>
    <row r="985" spans="11:15" ht="12.75" x14ac:dyDescent="0.2">
      <c r="K985" s="6"/>
      <c r="L985" s="6"/>
      <c r="O985" s="4" t="str">
        <f ca="1">IFERROR(__xludf.DUMMYFUNCTION("TEXTJOIN("","", TRUE, FILTER($E$2:$E1000 &amp; $C$2:$C1000, $A$2:$A1000=A985, $B$2:$B1000=B985, $D$2:$D1000&lt;&gt;D985))"),"#N/A")</f>
        <v>#N/A</v>
      </c>
    </row>
    <row r="986" spans="11:15" ht="12.75" x14ac:dyDescent="0.2">
      <c r="K986" s="6"/>
      <c r="L986" s="6"/>
      <c r="O986" s="4" t="str">
        <f ca="1">IFERROR(__xludf.DUMMYFUNCTION("TEXTJOIN("","", TRUE, FILTER($E$2:$E1000 &amp; $C$2:$C1000, $A$2:$A1000=A986, $B$2:$B1000=B986, $D$2:$D1000&lt;&gt;D986))"),"#N/A")</f>
        <v>#N/A</v>
      </c>
    </row>
    <row r="987" spans="11:15" ht="12.75" x14ac:dyDescent="0.2">
      <c r="K987" s="6"/>
      <c r="L987" s="6"/>
      <c r="O987" s="4" t="str">
        <f ca="1">IFERROR(__xludf.DUMMYFUNCTION("TEXTJOIN("","", TRUE, FILTER($E$2:$E1000 &amp; $C$2:$C1000, $A$2:$A1000=A987, $B$2:$B1000=B987, $D$2:$D1000&lt;&gt;D987))"),"#N/A")</f>
        <v>#N/A</v>
      </c>
    </row>
    <row r="988" spans="11:15" ht="12.75" x14ac:dyDescent="0.2">
      <c r="K988" s="6"/>
      <c r="L988" s="6"/>
      <c r="O988" s="4" t="str">
        <f ca="1">IFERROR(__xludf.DUMMYFUNCTION("TEXTJOIN("","", TRUE, FILTER($E$2:$E1000 &amp; $C$2:$C1000, $A$2:$A1000=A988, $B$2:$B1000=B988, $D$2:$D1000&lt;&gt;D988))"),"#N/A")</f>
        <v>#N/A</v>
      </c>
    </row>
    <row r="989" spans="11:15" ht="12.75" x14ac:dyDescent="0.2">
      <c r="K989" s="6"/>
      <c r="L989" s="6"/>
      <c r="O989" s="4" t="str">
        <f ca="1">IFERROR(__xludf.DUMMYFUNCTION("TEXTJOIN("","", TRUE, FILTER($E$2:$E1000 &amp; $C$2:$C1000, $A$2:$A1000=A989, $B$2:$B1000=B989, $D$2:$D1000&lt;&gt;D989))"),"#N/A")</f>
        <v>#N/A</v>
      </c>
    </row>
    <row r="990" spans="11:15" ht="12.75" x14ac:dyDescent="0.2">
      <c r="K990" s="6"/>
      <c r="L990" s="6"/>
      <c r="O990" s="4" t="str">
        <f ca="1">IFERROR(__xludf.DUMMYFUNCTION("TEXTJOIN("","", TRUE, FILTER($E$2:$E1000 &amp; $C$2:$C1000, $A$2:$A1000=A990, $B$2:$B1000=B990, $D$2:$D1000&lt;&gt;D990))"),"#N/A")</f>
        <v>#N/A</v>
      </c>
    </row>
    <row r="991" spans="11:15" ht="12.75" x14ac:dyDescent="0.2">
      <c r="K991" s="6"/>
      <c r="L991" s="6"/>
      <c r="O991" s="4" t="str">
        <f ca="1">IFERROR(__xludf.DUMMYFUNCTION("TEXTJOIN("","", TRUE, FILTER($E$2:$E1000 &amp; $C$2:$C1000, $A$2:$A1000=A991, $B$2:$B1000=B991, $D$2:$D1000&lt;&gt;D991))"),"#N/A")</f>
        <v>#N/A</v>
      </c>
    </row>
    <row r="992" spans="11:15" ht="12.75" x14ac:dyDescent="0.2">
      <c r="K992" s="6"/>
      <c r="L992" s="6"/>
      <c r="O992" s="4" t="str">
        <f ca="1">IFERROR(__xludf.DUMMYFUNCTION("TEXTJOIN("","", TRUE, FILTER($E$2:$E1000 &amp; $C$2:$C1000, $A$2:$A1000=A992, $B$2:$B1000=B992, $D$2:$D1000&lt;&gt;D992))"),"#N/A")</f>
        <v>#N/A</v>
      </c>
    </row>
    <row r="993" spans="11:15" ht="12.75" x14ac:dyDescent="0.2">
      <c r="K993" s="6"/>
      <c r="L993" s="6"/>
      <c r="O993" s="4" t="str">
        <f ca="1">IFERROR(__xludf.DUMMYFUNCTION("TEXTJOIN("","", TRUE, FILTER($E$2:$E1000 &amp; $C$2:$C1000, $A$2:$A1000=A993, $B$2:$B1000=B993, $D$2:$D1000&lt;&gt;D993))"),"#N/A")</f>
        <v>#N/A</v>
      </c>
    </row>
    <row r="994" spans="11:15" ht="12.75" x14ac:dyDescent="0.2">
      <c r="K994" s="6"/>
      <c r="L994" s="6"/>
      <c r="O994" s="4" t="str">
        <f ca="1">IFERROR(__xludf.DUMMYFUNCTION("TEXTJOIN("","", TRUE, FILTER($E$2:$E1000 &amp; $C$2:$C1000, $A$2:$A1000=A994, $B$2:$B1000=B994, $D$2:$D1000&lt;&gt;D994))"),"#N/A")</f>
        <v>#N/A</v>
      </c>
    </row>
    <row r="995" spans="11:15" ht="12.75" x14ac:dyDescent="0.2">
      <c r="K995" s="6"/>
      <c r="L995" s="6"/>
      <c r="O995" s="4" t="str">
        <f ca="1">IFERROR(__xludf.DUMMYFUNCTION("TEXTJOIN("","", TRUE, FILTER($E$2:$E1000 &amp; $C$2:$C1000, $A$2:$A1000=A995, $B$2:$B1000=B995, $D$2:$D1000&lt;&gt;D995))"),"#N/A")</f>
        <v>#N/A</v>
      </c>
    </row>
    <row r="996" spans="11:15" ht="12.75" x14ac:dyDescent="0.2">
      <c r="K996" s="6"/>
      <c r="L996" s="6"/>
      <c r="O996" s="4" t="str">
        <f ca="1">IFERROR(__xludf.DUMMYFUNCTION("TEXTJOIN("","", TRUE, FILTER($E$2:$E1000 &amp; $C$2:$C1000, $A$2:$A1000=A996, $B$2:$B1000=B996, $D$2:$D1000&lt;&gt;D996))"),"#N/A")</f>
        <v>#N/A</v>
      </c>
    </row>
    <row r="997" spans="11:15" ht="12.75" x14ac:dyDescent="0.2">
      <c r="K997" s="6"/>
      <c r="L997" s="6"/>
      <c r="O997" s="4" t="str">
        <f ca="1">IFERROR(__xludf.DUMMYFUNCTION("TEXTJOIN("","", TRUE, FILTER($E$2:$E1000 &amp; $C$2:$C1000, $A$2:$A1000=A997, $B$2:$B1000=B997, $D$2:$D1000&lt;&gt;D997))"),"#N/A")</f>
        <v>#N/A</v>
      </c>
    </row>
    <row r="998" spans="11:15" ht="12.75" x14ac:dyDescent="0.2">
      <c r="K998" s="6"/>
      <c r="L998" s="6"/>
      <c r="O998" s="4" t="str">
        <f ca="1">IFERROR(__xludf.DUMMYFUNCTION("TEXTJOIN("","", TRUE, FILTER($E$2:$E1000 &amp; $C$2:$C1000, $A$2:$A1000=A998, $B$2:$B1000=B998, $D$2:$D1000&lt;&gt;D998))"),"#N/A")</f>
        <v>#N/A</v>
      </c>
    </row>
    <row r="999" spans="11:15" ht="12.75" x14ac:dyDescent="0.2">
      <c r="K999" s="6"/>
      <c r="L999" s="6"/>
      <c r="O999" s="4" t="str">
        <f ca="1">IFERROR(__xludf.DUMMYFUNCTION("TEXTJOIN("","", TRUE, FILTER($E$2:$E1000 &amp; $C$2:$C1000, $A$2:$A1000=A999, $B$2:$B1000=B999, $D$2:$D1000&lt;&gt;D999))"),"#N/A")</f>
        <v>#N/A</v>
      </c>
    </row>
    <row r="1000" spans="11:15" ht="12.75" x14ac:dyDescent="0.2">
      <c r="K1000" s="6"/>
      <c r="L1000" s="6"/>
      <c r="O1000" s="4" t="str">
        <f ca="1">IFERROR(__xludf.DUMMYFUNCTION("TEXTJOIN("","", TRUE, FILTER($E$2:$E1000 &amp; $C$2:$C1000, $A$2:$A1000=A1000, $B$2:$B1000=B1000, $D$2:$D1000&lt;&gt;D1000))"),"#N/A")</f>
        <v>#N/A</v>
      </c>
    </row>
  </sheetData>
  <phoneticPr fontId="3" type="noConversion"/>
  <dataValidations disablePrompts="1" count="4">
    <dataValidation type="list" allowBlank="1" showErrorMessage="1" sqref="AA2:AA21 S2:S22" xr:uid="{00000000-0002-0000-0000-000000000000}">
      <formula1>$C$2:$C$1000</formula1>
    </dataValidation>
    <dataValidation type="list" allowBlank="1" showErrorMessage="1" sqref="AB2:AB21 T2:T22" xr:uid="{00000000-0002-0000-0000-000001000000}">
      <formula1>$AE$2:$AE$600</formula1>
    </dataValidation>
    <dataValidation type="list" allowBlank="1" showErrorMessage="1" sqref="AC2:AC21 U3:U22" xr:uid="{00000000-0002-0000-0000-000002000000}">
      <formula1>$AF$2:$AF$10000</formula1>
    </dataValidation>
    <dataValidation type="list" allowBlank="1" sqref="U2" xr:uid="{00000000-0002-0000-0000-000003000000}">
      <formula1>"요네,신드라,트위스티드페이트,야스오,자르반4세"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L262"/>
  <sheetViews>
    <sheetView topLeftCell="A239" workbookViewId="0">
      <selection activeCell="A3" sqref="A3:L262"/>
    </sheetView>
  </sheetViews>
  <sheetFormatPr defaultColWidth="12.5703125" defaultRowHeight="15.75" customHeight="1" x14ac:dyDescent="0.2"/>
  <sheetData>
    <row r="2" spans="1:12" ht="15.75" customHeight="1" x14ac:dyDescent="0.2">
      <c r="A2" s="10" t="s">
        <v>132</v>
      </c>
      <c r="B2" s="11" t="s">
        <v>132</v>
      </c>
      <c r="C2" s="11" t="s">
        <v>132</v>
      </c>
      <c r="D2" s="11" t="s">
        <v>132</v>
      </c>
      <c r="E2" s="11" t="s">
        <v>132</v>
      </c>
      <c r="F2" s="11" t="s">
        <v>132</v>
      </c>
      <c r="G2" s="11" t="s">
        <v>132</v>
      </c>
      <c r="H2" s="11" t="s">
        <v>132</v>
      </c>
      <c r="I2" s="11" t="s">
        <v>132</v>
      </c>
      <c r="J2" s="11" t="s">
        <v>132</v>
      </c>
      <c r="K2" s="11" t="s">
        <v>132</v>
      </c>
      <c r="L2" s="11" t="s">
        <v>132</v>
      </c>
    </row>
    <row r="3" spans="1:12" ht="15.75" customHeight="1" x14ac:dyDescent="0.2">
      <c r="A3" s="7">
        <v>46012</v>
      </c>
      <c r="B3" s="1">
        <v>1</v>
      </c>
      <c r="C3" s="1" t="s">
        <v>32</v>
      </c>
      <c r="D3" s="1" t="str">
        <f t="shared" ref="D3:D32" si="0">IF(B3=1,IF(COUNTIFS(A$2:A$1000,A3,C$2:C$1000,C3,E$2:E$1000,"승")&gt;COUNTIFS(A$2:A$1000,A3,C$2:C$1000,C3,E$2:E$1000,"패"),"승","패"),"")</f>
        <v>패</v>
      </c>
      <c r="E3" s="1" t="s">
        <v>15</v>
      </c>
      <c r="F3" s="1" t="s">
        <v>16</v>
      </c>
      <c r="G3" s="1" t="s">
        <v>23</v>
      </c>
      <c r="H3" s="1">
        <v>5</v>
      </c>
      <c r="I3" s="1">
        <v>3</v>
      </c>
      <c r="J3" s="1">
        <v>14</v>
      </c>
      <c r="K3" s="2">
        <v>31501</v>
      </c>
      <c r="L3" s="2">
        <v>14346</v>
      </c>
    </row>
    <row r="4" spans="1:12" ht="15.75" customHeight="1" x14ac:dyDescent="0.2">
      <c r="A4" s="7">
        <v>46012</v>
      </c>
      <c r="B4" s="1">
        <v>1</v>
      </c>
      <c r="C4" s="1" t="s">
        <v>21</v>
      </c>
      <c r="D4" s="1" t="str">
        <f t="shared" si="0"/>
        <v>패</v>
      </c>
      <c r="E4" s="1" t="s">
        <v>15</v>
      </c>
      <c r="F4" s="1" t="s">
        <v>22</v>
      </c>
      <c r="G4" s="1" t="s">
        <v>67</v>
      </c>
      <c r="H4" s="1">
        <v>5</v>
      </c>
      <c r="I4" s="1">
        <v>5</v>
      </c>
      <c r="J4" s="1">
        <v>18</v>
      </c>
      <c r="K4" s="2">
        <v>21663</v>
      </c>
      <c r="L4" s="2">
        <v>14134</v>
      </c>
    </row>
    <row r="5" spans="1:12" ht="15.75" customHeight="1" x14ac:dyDescent="0.2">
      <c r="A5" s="7">
        <v>46012</v>
      </c>
      <c r="B5" s="1">
        <v>1</v>
      </c>
      <c r="C5" s="1" t="s">
        <v>14</v>
      </c>
      <c r="D5" s="1" t="str">
        <f t="shared" si="0"/>
        <v>승</v>
      </c>
      <c r="E5" s="1" t="s">
        <v>15</v>
      </c>
      <c r="F5" s="1" t="s">
        <v>18</v>
      </c>
      <c r="G5" s="1" t="s">
        <v>82</v>
      </c>
      <c r="H5" s="1">
        <v>8</v>
      </c>
      <c r="I5" s="1">
        <v>4</v>
      </c>
      <c r="J5" s="1">
        <v>17</v>
      </c>
      <c r="K5" s="2">
        <v>31946</v>
      </c>
      <c r="L5" s="2">
        <v>17276</v>
      </c>
    </row>
    <row r="6" spans="1:12" ht="15.75" customHeight="1" x14ac:dyDescent="0.2">
      <c r="A6" s="7">
        <v>46012</v>
      </c>
      <c r="B6" s="1">
        <v>1</v>
      </c>
      <c r="C6" s="1" t="s">
        <v>27</v>
      </c>
      <c r="D6" s="1" t="str">
        <f t="shared" si="0"/>
        <v>패</v>
      </c>
      <c r="E6" s="1" t="s">
        <v>15</v>
      </c>
      <c r="F6" s="1" t="s">
        <v>28</v>
      </c>
      <c r="G6" s="1" t="s">
        <v>59</v>
      </c>
      <c r="H6" s="1">
        <v>15</v>
      </c>
      <c r="I6" s="1">
        <v>6</v>
      </c>
      <c r="J6" s="1">
        <v>8</v>
      </c>
      <c r="K6" s="2">
        <v>50964</v>
      </c>
      <c r="L6" s="2">
        <v>18228</v>
      </c>
    </row>
    <row r="7" spans="1:12" ht="15.75" customHeight="1" x14ac:dyDescent="0.2">
      <c r="A7" s="7">
        <v>46012</v>
      </c>
      <c r="B7" s="1">
        <v>1</v>
      </c>
      <c r="C7" s="1" t="s">
        <v>20</v>
      </c>
      <c r="D7" s="1" t="str">
        <f t="shared" si="0"/>
        <v>패</v>
      </c>
      <c r="E7" s="1" t="s">
        <v>15</v>
      </c>
      <c r="F7" s="1" t="s">
        <v>30</v>
      </c>
      <c r="G7" s="1" t="s">
        <v>41</v>
      </c>
      <c r="H7" s="1">
        <v>1</v>
      </c>
      <c r="I7" s="1">
        <v>6</v>
      </c>
      <c r="J7" s="1">
        <v>11</v>
      </c>
      <c r="K7" s="2">
        <v>31501</v>
      </c>
      <c r="L7" s="2">
        <v>14346</v>
      </c>
    </row>
    <row r="8" spans="1:12" ht="15.75" customHeight="1" x14ac:dyDescent="0.2">
      <c r="A8" s="7">
        <v>46012</v>
      </c>
      <c r="B8" s="1">
        <v>1</v>
      </c>
      <c r="C8" s="1" t="s">
        <v>45</v>
      </c>
      <c r="D8" s="1" t="str">
        <f t="shared" si="0"/>
        <v>승</v>
      </c>
      <c r="E8" s="1" t="s">
        <v>33</v>
      </c>
      <c r="F8" s="1" t="s">
        <v>16</v>
      </c>
      <c r="G8" s="1" t="s">
        <v>34</v>
      </c>
      <c r="H8" s="1">
        <v>3</v>
      </c>
      <c r="I8" s="1">
        <v>5</v>
      </c>
      <c r="J8" s="1">
        <v>6</v>
      </c>
      <c r="K8" s="2">
        <v>22650</v>
      </c>
      <c r="L8" s="2">
        <v>12763</v>
      </c>
    </row>
    <row r="9" spans="1:12" ht="15.75" customHeight="1" x14ac:dyDescent="0.2">
      <c r="A9" s="7">
        <v>46012</v>
      </c>
      <c r="B9" s="1">
        <v>1</v>
      </c>
      <c r="C9" s="1" t="s">
        <v>44</v>
      </c>
      <c r="D9" s="1" t="str">
        <f t="shared" si="0"/>
        <v>승</v>
      </c>
      <c r="E9" s="1" t="s">
        <v>33</v>
      </c>
      <c r="F9" s="1" t="s">
        <v>22</v>
      </c>
      <c r="G9" s="1" t="s">
        <v>83</v>
      </c>
      <c r="H9" s="1">
        <v>3</v>
      </c>
      <c r="I9" s="1">
        <v>7</v>
      </c>
      <c r="J9" s="1">
        <v>10</v>
      </c>
      <c r="K9" s="2">
        <v>14727</v>
      </c>
      <c r="L9" s="2">
        <v>12633</v>
      </c>
    </row>
    <row r="10" spans="1:12" ht="15.75" customHeight="1" x14ac:dyDescent="0.2">
      <c r="A10" s="7">
        <v>46012</v>
      </c>
      <c r="B10" s="1">
        <v>1</v>
      </c>
      <c r="C10" s="1" t="s">
        <v>37</v>
      </c>
      <c r="D10" s="1" t="str">
        <f t="shared" si="0"/>
        <v>패</v>
      </c>
      <c r="E10" s="1" t="s">
        <v>33</v>
      </c>
      <c r="F10" s="1" t="s">
        <v>18</v>
      </c>
      <c r="G10" s="1" t="s">
        <v>24</v>
      </c>
      <c r="H10" s="1">
        <v>12</v>
      </c>
      <c r="I10" s="1">
        <v>9</v>
      </c>
      <c r="J10" s="1">
        <v>6</v>
      </c>
      <c r="K10" s="2">
        <v>36268</v>
      </c>
      <c r="L10" s="2">
        <v>20365</v>
      </c>
    </row>
    <row r="11" spans="1:12" ht="15.75" customHeight="1" x14ac:dyDescent="0.2">
      <c r="A11" s="7">
        <v>46012</v>
      </c>
      <c r="B11" s="1">
        <v>1</v>
      </c>
      <c r="C11" s="1" t="s">
        <v>42</v>
      </c>
      <c r="D11" s="1" t="str">
        <f t="shared" si="0"/>
        <v>승</v>
      </c>
      <c r="E11" s="1" t="s">
        <v>33</v>
      </c>
      <c r="F11" s="1" t="s">
        <v>28</v>
      </c>
      <c r="G11" s="1" t="s">
        <v>84</v>
      </c>
      <c r="H11" s="1">
        <v>3</v>
      </c>
      <c r="I11" s="1">
        <v>6</v>
      </c>
      <c r="J11" s="1">
        <v>7</v>
      </c>
      <c r="K11" s="2">
        <v>22640</v>
      </c>
      <c r="L11" s="2">
        <v>13396</v>
      </c>
    </row>
    <row r="12" spans="1:12" ht="15.75" customHeight="1" x14ac:dyDescent="0.2">
      <c r="A12" s="7">
        <v>46012</v>
      </c>
      <c r="B12" s="1">
        <v>1</v>
      </c>
      <c r="C12" s="1" t="s">
        <v>40</v>
      </c>
      <c r="D12" s="1" t="str">
        <f t="shared" si="0"/>
        <v>승</v>
      </c>
      <c r="E12" s="1" t="s">
        <v>33</v>
      </c>
      <c r="F12" s="1" t="s">
        <v>30</v>
      </c>
      <c r="G12" s="1" t="s">
        <v>60</v>
      </c>
      <c r="H12" s="1">
        <v>3</v>
      </c>
      <c r="I12" s="1">
        <v>7</v>
      </c>
      <c r="J12" s="1">
        <v>13</v>
      </c>
      <c r="K12" s="2">
        <v>22464</v>
      </c>
      <c r="L12" s="2">
        <v>10213</v>
      </c>
    </row>
    <row r="13" spans="1:12" ht="15.75" customHeight="1" x14ac:dyDescent="0.2">
      <c r="A13" s="7">
        <v>46012</v>
      </c>
      <c r="B13" s="1">
        <v>2</v>
      </c>
      <c r="C13" s="1" t="s">
        <v>32</v>
      </c>
      <c r="D13" s="1" t="str">
        <f t="shared" si="0"/>
        <v/>
      </c>
      <c r="E13" s="1" t="s">
        <v>33</v>
      </c>
      <c r="F13" s="1" t="s">
        <v>16</v>
      </c>
      <c r="G13" s="1" t="s">
        <v>85</v>
      </c>
      <c r="H13" s="1">
        <v>1</v>
      </c>
      <c r="I13" s="1">
        <v>4</v>
      </c>
      <c r="J13" s="1">
        <v>0</v>
      </c>
      <c r="K13" s="2">
        <v>7108</v>
      </c>
      <c r="L13" s="2">
        <v>4384</v>
      </c>
    </row>
    <row r="14" spans="1:12" ht="15.75" customHeight="1" x14ac:dyDescent="0.2">
      <c r="A14" s="7">
        <v>46012</v>
      </c>
      <c r="B14" s="1">
        <v>2</v>
      </c>
      <c r="C14" s="1" t="s">
        <v>21</v>
      </c>
      <c r="D14" s="1" t="str">
        <f t="shared" si="0"/>
        <v/>
      </c>
      <c r="E14" s="1" t="s">
        <v>33</v>
      </c>
      <c r="F14" s="1" t="s">
        <v>22</v>
      </c>
      <c r="G14" s="1" t="s">
        <v>34</v>
      </c>
      <c r="H14" s="1">
        <v>1</v>
      </c>
      <c r="I14" s="1">
        <v>6</v>
      </c>
      <c r="J14" s="1">
        <v>1</v>
      </c>
      <c r="K14" s="2">
        <v>6674</v>
      </c>
      <c r="L14" s="2">
        <v>4989</v>
      </c>
    </row>
    <row r="15" spans="1:12" ht="15.75" customHeight="1" x14ac:dyDescent="0.2">
      <c r="A15" s="7">
        <v>46012</v>
      </c>
      <c r="B15" s="1">
        <v>2</v>
      </c>
      <c r="C15" s="1" t="s">
        <v>37</v>
      </c>
      <c r="D15" s="1" t="str">
        <f t="shared" si="0"/>
        <v/>
      </c>
      <c r="E15" s="1" t="s">
        <v>33</v>
      </c>
      <c r="F15" s="1" t="s">
        <v>18</v>
      </c>
      <c r="G15" s="1" t="s">
        <v>24</v>
      </c>
      <c r="H15" s="1">
        <v>0</v>
      </c>
      <c r="I15" s="1">
        <v>3</v>
      </c>
      <c r="J15" s="1">
        <v>1</v>
      </c>
      <c r="K15" s="2">
        <v>4984</v>
      </c>
      <c r="L15" s="2">
        <v>5726</v>
      </c>
    </row>
    <row r="16" spans="1:12" ht="15.75" customHeight="1" x14ac:dyDescent="0.2">
      <c r="A16" s="7">
        <v>46012</v>
      </c>
      <c r="B16" s="1">
        <v>2</v>
      </c>
      <c r="C16" s="1" t="s">
        <v>27</v>
      </c>
      <c r="D16" s="1" t="str">
        <f t="shared" si="0"/>
        <v/>
      </c>
      <c r="E16" s="1" t="s">
        <v>33</v>
      </c>
      <c r="F16" s="1" t="s">
        <v>28</v>
      </c>
      <c r="G16" s="1" t="s">
        <v>64</v>
      </c>
      <c r="H16" s="1">
        <v>0</v>
      </c>
      <c r="I16" s="1">
        <v>5</v>
      </c>
      <c r="J16" s="1">
        <v>0</v>
      </c>
      <c r="K16" s="2">
        <v>4543</v>
      </c>
      <c r="L16" s="2">
        <v>3911</v>
      </c>
    </row>
    <row r="17" spans="1:12" ht="15.75" customHeight="1" x14ac:dyDescent="0.2">
      <c r="A17" s="7">
        <v>46012</v>
      </c>
      <c r="B17" s="1">
        <v>2</v>
      </c>
      <c r="C17" s="1" t="s">
        <v>20</v>
      </c>
      <c r="D17" s="1" t="str">
        <f t="shared" si="0"/>
        <v/>
      </c>
      <c r="E17" s="1" t="s">
        <v>33</v>
      </c>
      <c r="F17" s="1" t="s">
        <v>30</v>
      </c>
      <c r="G17" s="1" t="s">
        <v>86</v>
      </c>
      <c r="H17" s="1">
        <v>0</v>
      </c>
      <c r="I17" s="1">
        <v>4</v>
      </c>
      <c r="J17" s="1">
        <v>0</v>
      </c>
      <c r="K17" s="2">
        <v>3140</v>
      </c>
      <c r="L17" s="2">
        <v>3375</v>
      </c>
    </row>
    <row r="18" spans="1:12" ht="15.75" customHeight="1" x14ac:dyDescent="0.2">
      <c r="A18" s="7">
        <v>46012</v>
      </c>
      <c r="B18" s="1">
        <v>2</v>
      </c>
      <c r="C18" s="1" t="s">
        <v>45</v>
      </c>
      <c r="D18" s="1" t="str">
        <f t="shared" si="0"/>
        <v/>
      </c>
      <c r="E18" s="1" t="s">
        <v>15</v>
      </c>
      <c r="F18" s="1" t="s">
        <v>16</v>
      </c>
      <c r="G18" s="1" t="s">
        <v>87</v>
      </c>
      <c r="H18" s="1">
        <v>3</v>
      </c>
      <c r="I18" s="1">
        <v>1</v>
      </c>
      <c r="J18" s="1">
        <v>3</v>
      </c>
      <c r="K18" s="2">
        <v>9969</v>
      </c>
      <c r="L18" s="2">
        <v>5899</v>
      </c>
    </row>
    <row r="19" spans="1:12" ht="15.75" customHeight="1" x14ac:dyDescent="0.2">
      <c r="A19" s="7">
        <v>46012</v>
      </c>
      <c r="B19" s="1">
        <v>2</v>
      </c>
      <c r="C19" s="1" t="s">
        <v>44</v>
      </c>
      <c r="D19" s="1" t="str">
        <f t="shared" si="0"/>
        <v/>
      </c>
      <c r="E19" s="1" t="s">
        <v>15</v>
      </c>
      <c r="F19" s="1" t="s">
        <v>22</v>
      </c>
      <c r="G19" s="1" t="s">
        <v>62</v>
      </c>
      <c r="H19" s="1">
        <v>3</v>
      </c>
      <c r="I19" s="1">
        <v>0</v>
      </c>
      <c r="J19" s="1">
        <v>12</v>
      </c>
      <c r="K19" s="2">
        <v>7758</v>
      </c>
      <c r="L19" s="2">
        <v>6799</v>
      </c>
    </row>
    <row r="20" spans="1:12" ht="15.75" customHeight="1" x14ac:dyDescent="0.2">
      <c r="A20" s="7">
        <v>46012</v>
      </c>
      <c r="B20" s="1">
        <v>2</v>
      </c>
      <c r="C20" s="1" t="s">
        <v>14</v>
      </c>
      <c r="D20" s="1" t="str">
        <f t="shared" si="0"/>
        <v/>
      </c>
      <c r="E20" s="1" t="s">
        <v>15</v>
      </c>
      <c r="F20" s="1" t="s">
        <v>18</v>
      </c>
      <c r="G20" s="1" t="s">
        <v>82</v>
      </c>
      <c r="H20" s="1">
        <v>3</v>
      </c>
      <c r="I20" s="1">
        <v>0</v>
      </c>
      <c r="J20" s="1">
        <v>11</v>
      </c>
      <c r="K20" s="2">
        <v>5991</v>
      </c>
      <c r="L20" s="2">
        <v>6615</v>
      </c>
    </row>
    <row r="21" spans="1:12" ht="15.75" customHeight="1" x14ac:dyDescent="0.2">
      <c r="A21" s="7">
        <v>46012</v>
      </c>
      <c r="B21" s="1">
        <v>2</v>
      </c>
      <c r="C21" s="1" t="s">
        <v>42</v>
      </c>
      <c r="D21" s="1" t="str">
        <f t="shared" si="0"/>
        <v/>
      </c>
      <c r="E21" s="1" t="s">
        <v>15</v>
      </c>
      <c r="F21" s="1" t="s">
        <v>28</v>
      </c>
      <c r="G21" s="1" t="s">
        <v>84</v>
      </c>
      <c r="H21" s="1">
        <v>8</v>
      </c>
      <c r="I21" s="1">
        <v>0</v>
      </c>
      <c r="J21" s="1">
        <v>4</v>
      </c>
      <c r="K21" s="2">
        <v>12598</v>
      </c>
      <c r="L21" s="2">
        <v>8135</v>
      </c>
    </row>
    <row r="22" spans="1:12" ht="15.75" customHeight="1" x14ac:dyDescent="0.2">
      <c r="A22" s="7">
        <v>46012</v>
      </c>
      <c r="B22" s="1">
        <v>2</v>
      </c>
      <c r="C22" s="1" t="s">
        <v>40</v>
      </c>
      <c r="D22" s="1" t="str">
        <f t="shared" si="0"/>
        <v/>
      </c>
      <c r="E22" s="1" t="s">
        <v>15</v>
      </c>
      <c r="F22" s="1" t="s">
        <v>30</v>
      </c>
      <c r="G22" s="1" t="s">
        <v>41</v>
      </c>
      <c r="H22" s="1">
        <v>5</v>
      </c>
      <c r="I22" s="1">
        <v>1</v>
      </c>
      <c r="J22" s="1">
        <v>11</v>
      </c>
      <c r="K22" s="2">
        <v>9770</v>
      </c>
      <c r="L22" s="2">
        <v>5549</v>
      </c>
    </row>
    <row r="23" spans="1:12" ht="15.75" customHeight="1" x14ac:dyDescent="0.2">
      <c r="A23" s="7">
        <v>46012</v>
      </c>
      <c r="B23" s="1">
        <v>3</v>
      </c>
      <c r="C23" s="1" t="s">
        <v>32</v>
      </c>
      <c r="D23" s="1" t="str">
        <f t="shared" si="0"/>
        <v/>
      </c>
      <c r="E23" s="1" t="s">
        <v>33</v>
      </c>
      <c r="F23" s="1" t="s">
        <v>16</v>
      </c>
      <c r="G23" s="1" t="s">
        <v>76</v>
      </c>
      <c r="H23" s="1">
        <v>1</v>
      </c>
      <c r="I23" s="1">
        <v>6</v>
      </c>
      <c r="J23" s="1">
        <v>0</v>
      </c>
      <c r="K23" s="2">
        <v>11704</v>
      </c>
      <c r="L23" s="2">
        <v>8720</v>
      </c>
    </row>
    <row r="24" spans="1:12" ht="15.75" customHeight="1" x14ac:dyDescent="0.2">
      <c r="A24" s="7">
        <v>46012</v>
      </c>
      <c r="B24" s="1">
        <v>3</v>
      </c>
      <c r="C24" s="1" t="s">
        <v>21</v>
      </c>
      <c r="D24" s="1" t="str">
        <f t="shared" si="0"/>
        <v/>
      </c>
      <c r="E24" s="1" t="s">
        <v>33</v>
      </c>
      <c r="F24" s="1" t="s">
        <v>22</v>
      </c>
      <c r="G24" s="1" t="s">
        <v>77</v>
      </c>
      <c r="H24" s="1">
        <v>1</v>
      </c>
      <c r="I24" s="1">
        <v>6</v>
      </c>
      <c r="J24" s="1">
        <v>3</v>
      </c>
      <c r="K24" s="2">
        <v>9198</v>
      </c>
      <c r="L24" s="2">
        <v>7788</v>
      </c>
    </row>
    <row r="25" spans="1:12" ht="15.75" customHeight="1" x14ac:dyDescent="0.2">
      <c r="A25" s="7">
        <v>46012</v>
      </c>
      <c r="B25" s="1">
        <v>3</v>
      </c>
      <c r="C25" s="1" t="s">
        <v>37</v>
      </c>
      <c r="D25" s="1" t="str">
        <f t="shared" si="0"/>
        <v/>
      </c>
      <c r="E25" s="1" t="s">
        <v>33</v>
      </c>
      <c r="F25" s="1" t="s">
        <v>18</v>
      </c>
      <c r="G25" s="1" t="s">
        <v>60</v>
      </c>
      <c r="H25" s="1">
        <v>2</v>
      </c>
      <c r="I25" s="1">
        <v>0</v>
      </c>
      <c r="J25" s="1">
        <v>5</v>
      </c>
      <c r="K25" s="2">
        <v>19985</v>
      </c>
      <c r="L25" s="2">
        <v>9930</v>
      </c>
    </row>
    <row r="26" spans="1:12" ht="15.75" customHeight="1" x14ac:dyDescent="0.2">
      <c r="A26" s="7">
        <v>46012</v>
      </c>
      <c r="B26" s="1">
        <v>3</v>
      </c>
      <c r="C26" s="1" t="s">
        <v>27</v>
      </c>
      <c r="D26" s="1" t="str">
        <f t="shared" si="0"/>
        <v/>
      </c>
      <c r="E26" s="1" t="s">
        <v>33</v>
      </c>
      <c r="F26" s="1" t="s">
        <v>28</v>
      </c>
      <c r="G26" s="1" t="s">
        <v>84</v>
      </c>
      <c r="H26" s="1">
        <v>5</v>
      </c>
      <c r="I26" s="1">
        <v>4</v>
      </c>
      <c r="J26" s="1">
        <v>2</v>
      </c>
      <c r="K26" s="2">
        <v>19621</v>
      </c>
      <c r="L26" s="2">
        <v>10923</v>
      </c>
    </row>
    <row r="27" spans="1:12" ht="15.75" customHeight="1" x14ac:dyDescent="0.2">
      <c r="A27" s="7">
        <v>46012</v>
      </c>
      <c r="B27" s="1">
        <v>3</v>
      </c>
      <c r="C27" s="1" t="s">
        <v>20</v>
      </c>
      <c r="D27" s="1" t="str">
        <f t="shared" si="0"/>
        <v/>
      </c>
      <c r="E27" s="1" t="s">
        <v>33</v>
      </c>
      <c r="F27" s="1" t="s">
        <v>30</v>
      </c>
      <c r="G27" s="1" t="s">
        <v>41</v>
      </c>
      <c r="H27" s="1">
        <v>1</v>
      </c>
      <c r="I27" s="1">
        <v>6</v>
      </c>
      <c r="J27" s="1">
        <v>7</v>
      </c>
      <c r="K27" s="2">
        <v>9906</v>
      </c>
      <c r="L27" s="2">
        <v>6259</v>
      </c>
    </row>
    <row r="28" spans="1:12" ht="15.75" customHeight="1" x14ac:dyDescent="0.2">
      <c r="A28" s="7">
        <v>46012</v>
      </c>
      <c r="B28" s="1">
        <v>3</v>
      </c>
      <c r="C28" s="1" t="s">
        <v>45</v>
      </c>
      <c r="D28" s="1" t="str">
        <f t="shared" si="0"/>
        <v/>
      </c>
      <c r="E28" s="1" t="s">
        <v>15</v>
      </c>
      <c r="F28" s="1" t="s">
        <v>16</v>
      </c>
      <c r="G28" s="1" t="s">
        <v>87</v>
      </c>
      <c r="H28" s="1">
        <v>3</v>
      </c>
      <c r="I28" s="1">
        <v>0</v>
      </c>
      <c r="J28" s="1">
        <v>3</v>
      </c>
      <c r="K28" s="2">
        <v>10793</v>
      </c>
      <c r="L28" s="2">
        <v>9172</v>
      </c>
    </row>
    <row r="29" spans="1:12" ht="15.75" customHeight="1" x14ac:dyDescent="0.2">
      <c r="A29" s="7">
        <v>46012</v>
      </c>
      <c r="B29" s="1">
        <v>3</v>
      </c>
      <c r="C29" s="1" t="s">
        <v>44</v>
      </c>
      <c r="D29" s="1" t="str">
        <f t="shared" si="0"/>
        <v/>
      </c>
      <c r="E29" s="1" t="s">
        <v>15</v>
      </c>
      <c r="F29" s="1" t="s">
        <v>22</v>
      </c>
      <c r="G29" s="1" t="s">
        <v>79</v>
      </c>
      <c r="H29" s="1">
        <v>6</v>
      </c>
      <c r="I29" s="1">
        <v>2</v>
      </c>
      <c r="J29" s="1">
        <v>11</v>
      </c>
      <c r="K29" s="2">
        <v>17540</v>
      </c>
      <c r="L29" s="2">
        <v>10873</v>
      </c>
    </row>
    <row r="30" spans="1:12" ht="15.75" customHeight="1" x14ac:dyDescent="0.2">
      <c r="A30" s="7">
        <v>46012</v>
      </c>
      <c r="B30" s="1">
        <v>3</v>
      </c>
      <c r="C30" s="1" t="s">
        <v>14</v>
      </c>
      <c r="D30" s="1" t="str">
        <f t="shared" si="0"/>
        <v/>
      </c>
      <c r="E30" s="1" t="s">
        <v>15</v>
      </c>
      <c r="F30" s="1" t="s">
        <v>18</v>
      </c>
      <c r="G30" s="1" t="s">
        <v>17</v>
      </c>
      <c r="H30" s="1">
        <v>6</v>
      </c>
      <c r="I30" s="1">
        <v>3</v>
      </c>
      <c r="J30" s="1">
        <v>5</v>
      </c>
      <c r="K30" s="2">
        <v>14729</v>
      </c>
      <c r="L30" s="2">
        <v>9789</v>
      </c>
    </row>
    <row r="31" spans="1:12" ht="15.75" customHeight="1" x14ac:dyDescent="0.2">
      <c r="A31" s="7">
        <v>46012</v>
      </c>
      <c r="B31" s="1">
        <v>3</v>
      </c>
      <c r="C31" s="1" t="s">
        <v>42</v>
      </c>
      <c r="D31" s="1" t="str">
        <f t="shared" si="0"/>
        <v/>
      </c>
      <c r="E31" s="1" t="s">
        <v>15</v>
      </c>
      <c r="F31" s="1" t="s">
        <v>28</v>
      </c>
      <c r="G31" s="1" t="s">
        <v>59</v>
      </c>
      <c r="H31" s="1">
        <v>3</v>
      </c>
      <c r="I31" s="1">
        <v>3</v>
      </c>
      <c r="J31" s="1">
        <v>7</v>
      </c>
      <c r="K31" s="2">
        <v>10166</v>
      </c>
      <c r="L31" s="2">
        <v>11323</v>
      </c>
    </row>
    <row r="32" spans="1:12" ht="15.75" customHeight="1" x14ac:dyDescent="0.2">
      <c r="A32" s="7">
        <v>46012</v>
      </c>
      <c r="B32" s="1">
        <v>3</v>
      </c>
      <c r="C32" s="1" t="s">
        <v>40</v>
      </c>
      <c r="D32" s="1" t="str">
        <f t="shared" si="0"/>
        <v/>
      </c>
      <c r="E32" s="1" t="s">
        <v>15</v>
      </c>
      <c r="F32" s="1" t="s">
        <v>30</v>
      </c>
      <c r="G32" s="1" t="s">
        <v>88</v>
      </c>
      <c r="H32" s="1">
        <v>4</v>
      </c>
      <c r="I32" s="1">
        <v>2</v>
      </c>
      <c r="J32" s="1">
        <v>14</v>
      </c>
      <c r="K32" s="2">
        <v>11508</v>
      </c>
      <c r="L32" s="2">
        <v>7851</v>
      </c>
    </row>
    <row r="33" spans="1:12" ht="15.75" customHeight="1" x14ac:dyDescent="0.2">
      <c r="A33" s="3">
        <v>46019</v>
      </c>
      <c r="B33" s="1">
        <v>1</v>
      </c>
      <c r="C33" s="1" t="s">
        <v>32</v>
      </c>
      <c r="D33" s="1" t="str">
        <f>IF(B33=1,IF(COUNTIFS(A:A,A33,C:C,C33,E:E,"승")&gt;COUNTIFS(A:A,A33,C:C,C33,E:E,"패"),"승",IF(COUNTIFS(A:A,A33,C:C,C33,E:E,"승")&lt;COUNTIFS(A:A,A33,C:C,C33,E:E,"패"),"패","무승부")),"")</f>
        <v>패</v>
      </c>
      <c r="E33" s="1" t="s">
        <v>33</v>
      </c>
      <c r="F33" s="1" t="s">
        <v>16</v>
      </c>
      <c r="G33" s="1" t="s">
        <v>66</v>
      </c>
      <c r="H33" s="1">
        <v>3</v>
      </c>
      <c r="I33" s="1">
        <v>6</v>
      </c>
      <c r="J33" s="1">
        <v>3</v>
      </c>
      <c r="K33" s="2">
        <v>16003</v>
      </c>
      <c r="L33" s="2">
        <v>7627</v>
      </c>
    </row>
    <row r="34" spans="1:12" ht="15.75" customHeight="1" x14ac:dyDescent="0.2">
      <c r="A34" s="3">
        <v>46019</v>
      </c>
      <c r="B34" s="1">
        <v>1</v>
      </c>
      <c r="C34" s="1" t="s">
        <v>21</v>
      </c>
      <c r="D34" s="1" t="str">
        <f t="shared" ref="D34:D97" si="1">IF(B34=1,IF(COUNTIFS(A$2:A$1000,A34,C$2:C$1000,C34,E$2:E$1000,"승")&gt;COUNTIFS(A$2:A$1000,A34,C$2:C$1000,C34,E$2:E$1000,"패"),"승","패"),"")</f>
        <v>패</v>
      </c>
      <c r="E34" s="1" t="s">
        <v>33</v>
      </c>
      <c r="F34" s="1" t="s">
        <v>22</v>
      </c>
      <c r="G34" s="1" t="s">
        <v>67</v>
      </c>
      <c r="H34" s="1">
        <v>6</v>
      </c>
      <c r="I34" s="1">
        <v>7</v>
      </c>
      <c r="J34" s="1">
        <v>5</v>
      </c>
      <c r="K34" s="2">
        <v>17441</v>
      </c>
      <c r="L34" s="2">
        <v>9783</v>
      </c>
    </row>
    <row r="35" spans="1:12" ht="15.75" customHeight="1" x14ac:dyDescent="0.2">
      <c r="A35" s="3">
        <v>46019</v>
      </c>
      <c r="B35" s="1">
        <v>1</v>
      </c>
      <c r="C35" s="1" t="s">
        <v>14</v>
      </c>
      <c r="D35" s="1" t="str">
        <f t="shared" si="1"/>
        <v>패</v>
      </c>
      <c r="E35" s="1" t="s">
        <v>33</v>
      </c>
      <c r="F35" s="1" t="s">
        <v>18</v>
      </c>
      <c r="G35" s="1" t="s">
        <v>17</v>
      </c>
      <c r="H35" s="1">
        <v>2</v>
      </c>
      <c r="I35" s="1">
        <v>8</v>
      </c>
      <c r="J35" s="1">
        <v>5</v>
      </c>
      <c r="K35" s="2">
        <v>11387</v>
      </c>
      <c r="L35" s="2">
        <v>8386</v>
      </c>
    </row>
    <row r="36" spans="1:12" ht="15.75" customHeight="1" x14ac:dyDescent="0.2">
      <c r="A36" s="3">
        <v>46019</v>
      </c>
      <c r="B36" s="1">
        <v>1</v>
      </c>
      <c r="C36" s="1" t="s">
        <v>38</v>
      </c>
      <c r="D36" s="1" t="str">
        <f t="shared" si="1"/>
        <v>패</v>
      </c>
      <c r="E36" s="1" t="s">
        <v>33</v>
      </c>
      <c r="F36" s="1" t="s">
        <v>28</v>
      </c>
      <c r="G36" s="1" t="s">
        <v>64</v>
      </c>
      <c r="H36" s="1">
        <v>8</v>
      </c>
      <c r="I36" s="1">
        <v>8</v>
      </c>
      <c r="J36" s="1">
        <v>5</v>
      </c>
      <c r="K36" s="2">
        <v>19635</v>
      </c>
      <c r="L36" s="2">
        <v>9648</v>
      </c>
    </row>
    <row r="37" spans="1:12" ht="15.75" customHeight="1" x14ac:dyDescent="0.2">
      <c r="A37" s="3">
        <v>46019</v>
      </c>
      <c r="B37" s="1">
        <v>1</v>
      </c>
      <c r="C37" s="1" t="s">
        <v>40</v>
      </c>
      <c r="D37" s="1" t="str">
        <f t="shared" si="1"/>
        <v>패</v>
      </c>
      <c r="E37" s="1" t="s">
        <v>33</v>
      </c>
      <c r="F37" s="1" t="s">
        <v>30</v>
      </c>
      <c r="G37" s="1" t="s">
        <v>41</v>
      </c>
      <c r="H37" s="1">
        <v>1</v>
      </c>
      <c r="I37" s="1">
        <v>7</v>
      </c>
      <c r="J37" s="1">
        <v>13</v>
      </c>
      <c r="K37" s="2">
        <v>13798</v>
      </c>
      <c r="L37" s="2">
        <v>6629</v>
      </c>
    </row>
    <row r="38" spans="1:12" ht="15.75" customHeight="1" x14ac:dyDescent="0.2">
      <c r="A38" s="3">
        <v>46019</v>
      </c>
      <c r="B38" s="1">
        <v>1</v>
      </c>
      <c r="C38" s="1" t="s">
        <v>42</v>
      </c>
      <c r="D38" s="1" t="str">
        <f t="shared" si="1"/>
        <v>승</v>
      </c>
      <c r="E38" s="1" t="s">
        <v>15</v>
      </c>
      <c r="F38" s="1" t="s">
        <v>16</v>
      </c>
      <c r="G38" s="1" t="s">
        <v>23</v>
      </c>
      <c r="H38" s="1">
        <v>11</v>
      </c>
      <c r="I38" s="1">
        <v>2</v>
      </c>
      <c r="J38" s="1">
        <v>12</v>
      </c>
      <c r="K38" s="2">
        <v>27978</v>
      </c>
      <c r="L38" s="2">
        <v>10747</v>
      </c>
    </row>
    <row r="39" spans="1:12" ht="15.75" customHeight="1" x14ac:dyDescent="0.2">
      <c r="A39" s="3">
        <v>46019</v>
      </c>
      <c r="B39" s="1">
        <v>1</v>
      </c>
      <c r="C39" s="1" t="s">
        <v>35</v>
      </c>
      <c r="D39" s="1" t="str">
        <f t="shared" si="1"/>
        <v>패</v>
      </c>
      <c r="E39" s="1" t="s">
        <v>15</v>
      </c>
      <c r="F39" s="1" t="s">
        <v>22</v>
      </c>
      <c r="G39" s="1" t="s">
        <v>68</v>
      </c>
      <c r="H39" s="1">
        <v>12</v>
      </c>
      <c r="I39" s="1">
        <v>4</v>
      </c>
      <c r="J39" s="1">
        <v>16</v>
      </c>
      <c r="K39" s="2">
        <v>27780</v>
      </c>
      <c r="L39" s="2">
        <v>13018</v>
      </c>
    </row>
    <row r="40" spans="1:12" ht="15.75" customHeight="1" x14ac:dyDescent="0.2">
      <c r="A40" s="3">
        <v>46019</v>
      </c>
      <c r="B40" s="1">
        <v>1</v>
      </c>
      <c r="C40" s="1" t="s">
        <v>37</v>
      </c>
      <c r="D40" s="1" t="str">
        <f t="shared" si="1"/>
        <v>승</v>
      </c>
      <c r="E40" s="1" t="s">
        <v>15</v>
      </c>
      <c r="F40" s="1" t="s">
        <v>18</v>
      </c>
      <c r="G40" s="1" t="s">
        <v>24</v>
      </c>
      <c r="H40" s="1">
        <v>8</v>
      </c>
      <c r="I40" s="1">
        <v>4</v>
      </c>
      <c r="J40" s="1">
        <v>8</v>
      </c>
      <c r="K40" s="2">
        <v>18848</v>
      </c>
      <c r="L40" s="2">
        <v>12445</v>
      </c>
    </row>
    <row r="41" spans="1:12" ht="15.75" customHeight="1" x14ac:dyDescent="0.2">
      <c r="A41" s="3">
        <v>46019</v>
      </c>
      <c r="B41" s="1">
        <v>1</v>
      </c>
      <c r="C41" s="1" t="s">
        <v>27</v>
      </c>
      <c r="D41" s="1" t="str">
        <f t="shared" si="1"/>
        <v>승</v>
      </c>
      <c r="E41" s="1" t="s">
        <v>15</v>
      </c>
      <c r="F41" s="1" t="s">
        <v>28</v>
      </c>
      <c r="G41" s="1" t="s">
        <v>69</v>
      </c>
      <c r="H41" s="1">
        <v>4</v>
      </c>
      <c r="I41" s="1">
        <v>5</v>
      </c>
      <c r="J41" s="1">
        <v>13</v>
      </c>
      <c r="K41" s="2">
        <v>15494</v>
      </c>
      <c r="L41" s="2">
        <v>9805</v>
      </c>
    </row>
    <row r="42" spans="1:12" ht="15.75" customHeight="1" x14ac:dyDescent="0.2">
      <c r="A42" s="3">
        <v>46019</v>
      </c>
      <c r="B42" s="1">
        <v>1</v>
      </c>
      <c r="C42" s="1" t="s">
        <v>20</v>
      </c>
      <c r="D42" s="1" t="str">
        <f t="shared" si="1"/>
        <v>승</v>
      </c>
      <c r="E42" s="1" t="s">
        <v>15</v>
      </c>
      <c r="F42" s="1" t="s">
        <v>30</v>
      </c>
      <c r="G42" s="1" t="s">
        <v>70</v>
      </c>
      <c r="H42" s="1">
        <v>1</v>
      </c>
      <c r="I42" s="1">
        <v>6</v>
      </c>
      <c r="J42" s="1">
        <v>18</v>
      </c>
      <c r="K42" s="2">
        <v>9186</v>
      </c>
      <c r="L42" s="2">
        <v>6905</v>
      </c>
    </row>
    <row r="43" spans="1:12" ht="15.75" customHeight="1" x14ac:dyDescent="0.2">
      <c r="A43" s="3">
        <v>46019</v>
      </c>
      <c r="B43" s="1">
        <v>2</v>
      </c>
      <c r="C43" s="1" t="s">
        <v>32</v>
      </c>
      <c r="D43" s="1" t="str">
        <f t="shared" si="1"/>
        <v/>
      </c>
      <c r="E43" s="1" t="s">
        <v>15</v>
      </c>
      <c r="F43" s="1" t="s">
        <v>16</v>
      </c>
      <c r="G43" s="1" t="s">
        <v>71</v>
      </c>
      <c r="H43" s="1">
        <v>5</v>
      </c>
      <c r="I43" s="1">
        <v>6</v>
      </c>
      <c r="J43" s="1">
        <v>12</v>
      </c>
      <c r="K43" s="2">
        <v>19946</v>
      </c>
      <c r="L43" s="2">
        <v>13327</v>
      </c>
    </row>
    <row r="44" spans="1:12" ht="15.75" customHeight="1" x14ac:dyDescent="0.2">
      <c r="A44" s="3">
        <v>46019</v>
      </c>
      <c r="B44" s="1">
        <v>2</v>
      </c>
      <c r="C44" s="1" t="s">
        <v>21</v>
      </c>
      <c r="D44" s="1" t="str">
        <f t="shared" si="1"/>
        <v/>
      </c>
      <c r="E44" s="1" t="s">
        <v>15</v>
      </c>
      <c r="F44" s="1" t="s">
        <v>22</v>
      </c>
      <c r="G44" s="1" t="s">
        <v>34</v>
      </c>
      <c r="H44" s="1">
        <v>6</v>
      </c>
      <c r="I44" s="1">
        <v>0</v>
      </c>
      <c r="J44" s="1">
        <v>14</v>
      </c>
      <c r="K44" s="2">
        <v>13262</v>
      </c>
      <c r="L44" s="2">
        <v>15281</v>
      </c>
    </row>
    <row r="45" spans="1:12" ht="15.75" customHeight="1" x14ac:dyDescent="0.2">
      <c r="A45" s="3">
        <v>46019</v>
      </c>
      <c r="B45" s="1">
        <v>2</v>
      </c>
      <c r="C45" s="1" t="s">
        <v>14</v>
      </c>
      <c r="D45" s="1" t="str">
        <f t="shared" si="1"/>
        <v/>
      </c>
      <c r="E45" s="1" t="s">
        <v>15</v>
      </c>
      <c r="F45" s="1" t="s">
        <v>18</v>
      </c>
      <c r="G45" s="1" t="s">
        <v>24</v>
      </c>
      <c r="H45" s="1">
        <v>7</v>
      </c>
      <c r="I45" s="1">
        <v>6</v>
      </c>
      <c r="J45" s="1">
        <v>11</v>
      </c>
      <c r="K45" s="2">
        <v>28337</v>
      </c>
      <c r="L45" s="2">
        <v>14035</v>
      </c>
    </row>
    <row r="46" spans="1:12" ht="15.75" customHeight="1" x14ac:dyDescent="0.2">
      <c r="A46" s="3">
        <v>46019</v>
      </c>
      <c r="B46" s="1">
        <v>2</v>
      </c>
      <c r="C46" s="1" t="s">
        <v>38</v>
      </c>
      <c r="D46" s="1" t="str">
        <f t="shared" si="1"/>
        <v/>
      </c>
      <c r="E46" s="1" t="s">
        <v>15</v>
      </c>
      <c r="F46" s="1" t="s">
        <v>28</v>
      </c>
      <c r="G46" s="1" t="s">
        <v>55</v>
      </c>
      <c r="H46" s="1">
        <v>16</v>
      </c>
      <c r="I46" s="1">
        <v>5</v>
      </c>
      <c r="J46" s="1">
        <v>7</v>
      </c>
      <c r="K46" s="2">
        <v>35045</v>
      </c>
      <c r="L46" s="2">
        <v>21111</v>
      </c>
    </row>
    <row r="47" spans="1:12" ht="15.75" customHeight="1" x14ac:dyDescent="0.2">
      <c r="A47" s="3">
        <v>46019</v>
      </c>
      <c r="B47" s="1">
        <v>2</v>
      </c>
      <c r="C47" s="1" t="s">
        <v>40</v>
      </c>
      <c r="D47" s="1" t="str">
        <f t="shared" si="1"/>
        <v/>
      </c>
      <c r="E47" s="1" t="s">
        <v>15</v>
      </c>
      <c r="F47" s="1" t="s">
        <v>30</v>
      </c>
      <c r="G47" s="1" t="s">
        <v>41</v>
      </c>
      <c r="H47" s="1">
        <v>6</v>
      </c>
      <c r="I47" s="1">
        <v>4</v>
      </c>
      <c r="J47" s="1">
        <v>26</v>
      </c>
      <c r="K47" s="2">
        <v>27279</v>
      </c>
      <c r="L47" s="2">
        <v>13482</v>
      </c>
    </row>
    <row r="48" spans="1:12" ht="15.75" customHeight="1" x14ac:dyDescent="0.2">
      <c r="A48" s="3">
        <v>46019</v>
      </c>
      <c r="B48" s="1">
        <v>2</v>
      </c>
      <c r="C48" s="1" t="s">
        <v>42</v>
      </c>
      <c r="D48" s="1" t="str">
        <f t="shared" si="1"/>
        <v/>
      </c>
      <c r="E48" s="1" t="s">
        <v>33</v>
      </c>
      <c r="F48" s="1" t="s">
        <v>16</v>
      </c>
      <c r="G48" s="1" t="s">
        <v>72</v>
      </c>
      <c r="H48" s="1">
        <v>1</v>
      </c>
      <c r="I48" s="1">
        <v>11</v>
      </c>
      <c r="J48" s="1">
        <v>5</v>
      </c>
      <c r="K48" s="2">
        <v>20712</v>
      </c>
      <c r="L48" s="2">
        <v>10921</v>
      </c>
    </row>
    <row r="49" spans="1:12" ht="15.75" customHeight="1" x14ac:dyDescent="0.2">
      <c r="A49" s="3">
        <v>46019</v>
      </c>
      <c r="B49" s="1">
        <v>2</v>
      </c>
      <c r="C49" s="1" t="s">
        <v>35</v>
      </c>
      <c r="D49" s="1" t="str">
        <f t="shared" si="1"/>
        <v/>
      </c>
      <c r="E49" s="1" t="s">
        <v>33</v>
      </c>
      <c r="F49" s="1" t="s">
        <v>22</v>
      </c>
      <c r="G49" s="1" t="s">
        <v>73</v>
      </c>
      <c r="H49" s="1">
        <v>4</v>
      </c>
      <c r="I49" s="1">
        <v>9</v>
      </c>
      <c r="J49" s="1">
        <v>5</v>
      </c>
      <c r="K49" s="2">
        <v>29256</v>
      </c>
      <c r="L49" s="2">
        <v>14235</v>
      </c>
    </row>
    <row r="50" spans="1:12" ht="15.75" customHeight="1" x14ac:dyDescent="0.2">
      <c r="A50" s="3">
        <v>46019</v>
      </c>
      <c r="B50" s="1">
        <v>2</v>
      </c>
      <c r="C50" s="1" t="s">
        <v>37</v>
      </c>
      <c r="D50" s="1" t="str">
        <f t="shared" si="1"/>
        <v/>
      </c>
      <c r="E50" s="1" t="s">
        <v>33</v>
      </c>
      <c r="F50" s="1" t="s">
        <v>18</v>
      </c>
      <c r="G50" s="1" t="s">
        <v>63</v>
      </c>
      <c r="H50" s="1">
        <v>7</v>
      </c>
      <c r="I50" s="1">
        <v>5</v>
      </c>
      <c r="J50" s="1">
        <v>9</v>
      </c>
      <c r="K50" s="2">
        <v>42960</v>
      </c>
      <c r="L50" s="2">
        <v>15737</v>
      </c>
    </row>
    <row r="51" spans="1:12" ht="15.75" customHeight="1" x14ac:dyDescent="0.2">
      <c r="A51" s="3">
        <v>46019</v>
      </c>
      <c r="B51" s="1">
        <v>2</v>
      </c>
      <c r="C51" s="1" t="s">
        <v>27</v>
      </c>
      <c r="D51" s="1" t="str">
        <f t="shared" si="1"/>
        <v/>
      </c>
      <c r="E51" s="1" t="s">
        <v>33</v>
      </c>
      <c r="F51" s="1" t="s">
        <v>28</v>
      </c>
      <c r="G51" s="1" t="s">
        <v>74</v>
      </c>
      <c r="H51" s="1">
        <v>7</v>
      </c>
      <c r="I51" s="1">
        <v>6</v>
      </c>
      <c r="J51" s="1">
        <v>4</v>
      </c>
      <c r="K51" s="2">
        <v>22307</v>
      </c>
      <c r="L51" s="2">
        <v>15149</v>
      </c>
    </row>
    <row r="52" spans="1:12" ht="15.75" customHeight="1" x14ac:dyDescent="0.2">
      <c r="A52" s="3">
        <v>46019</v>
      </c>
      <c r="B52" s="1">
        <v>2</v>
      </c>
      <c r="C52" s="1" t="s">
        <v>20</v>
      </c>
      <c r="D52" s="1" t="str">
        <f t="shared" si="1"/>
        <v/>
      </c>
      <c r="E52" s="1" t="s">
        <v>33</v>
      </c>
      <c r="F52" s="1" t="s">
        <v>30</v>
      </c>
      <c r="G52" s="1" t="s">
        <v>75</v>
      </c>
      <c r="H52" s="1">
        <v>2</v>
      </c>
      <c r="I52" s="1">
        <v>9</v>
      </c>
      <c r="J52" s="1">
        <v>12</v>
      </c>
      <c r="K52" s="2">
        <v>5752</v>
      </c>
      <c r="L52" s="2">
        <v>9024</v>
      </c>
    </row>
    <row r="53" spans="1:12" ht="15.75" customHeight="1" x14ac:dyDescent="0.2">
      <c r="A53" s="3">
        <v>46019</v>
      </c>
      <c r="B53" s="1">
        <v>3</v>
      </c>
      <c r="C53" s="1" t="s">
        <v>32</v>
      </c>
      <c r="D53" s="1" t="str">
        <f t="shared" si="1"/>
        <v/>
      </c>
      <c r="E53" s="1" t="s">
        <v>33</v>
      </c>
      <c r="F53" s="1" t="s">
        <v>16</v>
      </c>
      <c r="G53" s="1" t="s">
        <v>76</v>
      </c>
      <c r="H53" s="1">
        <v>1</v>
      </c>
      <c r="I53" s="1">
        <v>7</v>
      </c>
      <c r="J53" s="1">
        <v>3</v>
      </c>
      <c r="K53" s="6"/>
      <c r="L53" s="6"/>
    </row>
    <row r="54" spans="1:12" ht="15.75" customHeight="1" x14ac:dyDescent="0.2">
      <c r="A54" s="3">
        <v>46019</v>
      </c>
      <c r="B54" s="1">
        <v>3</v>
      </c>
      <c r="C54" s="1" t="s">
        <v>21</v>
      </c>
      <c r="D54" s="1" t="str">
        <f t="shared" si="1"/>
        <v/>
      </c>
      <c r="E54" s="1" t="s">
        <v>33</v>
      </c>
      <c r="F54" s="1" t="s">
        <v>22</v>
      </c>
      <c r="G54" s="1" t="s">
        <v>77</v>
      </c>
      <c r="H54" s="1">
        <v>4</v>
      </c>
      <c r="I54" s="1">
        <v>4</v>
      </c>
      <c r="J54" s="1">
        <v>6</v>
      </c>
      <c r="K54" s="6"/>
      <c r="L54" s="6"/>
    </row>
    <row r="55" spans="1:12" ht="15.75" customHeight="1" x14ac:dyDescent="0.2">
      <c r="A55" s="3">
        <v>46019</v>
      </c>
      <c r="B55" s="1">
        <v>3</v>
      </c>
      <c r="C55" s="1" t="s">
        <v>14</v>
      </c>
      <c r="D55" s="1" t="str">
        <f t="shared" si="1"/>
        <v/>
      </c>
      <c r="E55" s="1" t="s">
        <v>33</v>
      </c>
      <c r="F55" s="1" t="s">
        <v>18</v>
      </c>
      <c r="G55" s="1" t="s">
        <v>24</v>
      </c>
      <c r="H55" s="1">
        <v>7</v>
      </c>
      <c r="I55" s="1">
        <v>3</v>
      </c>
      <c r="J55" s="1">
        <v>2</v>
      </c>
      <c r="K55" s="6"/>
      <c r="L55" s="6"/>
    </row>
    <row r="56" spans="1:12" ht="15.75" customHeight="1" x14ac:dyDescent="0.2">
      <c r="A56" s="3">
        <v>46019</v>
      </c>
      <c r="B56" s="1">
        <v>3</v>
      </c>
      <c r="C56" s="1" t="s">
        <v>38</v>
      </c>
      <c r="D56" s="1" t="str">
        <f t="shared" si="1"/>
        <v/>
      </c>
      <c r="E56" s="1" t="s">
        <v>33</v>
      </c>
      <c r="F56" s="1" t="s">
        <v>28</v>
      </c>
      <c r="G56" s="1" t="s">
        <v>64</v>
      </c>
      <c r="H56" s="1">
        <v>4</v>
      </c>
      <c r="I56" s="1">
        <v>9</v>
      </c>
      <c r="J56" s="1">
        <v>9</v>
      </c>
      <c r="K56" s="6"/>
      <c r="L56" s="6"/>
    </row>
    <row r="57" spans="1:12" ht="15.75" customHeight="1" x14ac:dyDescent="0.2">
      <c r="A57" s="3">
        <v>46019</v>
      </c>
      <c r="B57" s="1">
        <v>3</v>
      </c>
      <c r="C57" s="1" t="s">
        <v>40</v>
      </c>
      <c r="D57" s="1" t="str">
        <f t="shared" si="1"/>
        <v/>
      </c>
      <c r="E57" s="1" t="s">
        <v>33</v>
      </c>
      <c r="F57" s="1" t="s">
        <v>30</v>
      </c>
      <c r="G57" s="1" t="s">
        <v>41</v>
      </c>
      <c r="H57" s="1">
        <v>3</v>
      </c>
      <c r="I57" s="1">
        <v>8</v>
      </c>
      <c r="J57" s="1">
        <v>11</v>
      </c>
      <c r="K57" s="6"/>
      <c r="L57" s="6"/>
    </row>
    <row r="58" spans="1:12" ht="15.75" customHeight="1" x14ac:dyDescent="0.2">
      <c r="A58" s="3">
        <v>46019</v>
      </c>
      <c r="B58" s="1">
        <v>3</v>
      </c>
      <c r="C58" s="1" t="s">
        <v>42</v>
      </c>
      <c r="D58" s="1" t="str">
        <f t="shared" si="1"/>
        <v/>
      </c>
      <c r="E58" s="1" t="s">
        <v>15</v>
      </c>
      <c r="F58" s="1" t="s">
        <v>16</v>
      </c>
      <c r="G58" s="1" t="s">
        <v>78</v>
      </c>
      <c r="H58" s="1">
        <v>7</v>
      </c>
      <c r="I58" s="1">
        <v>3</v>
      </c>
      <c r="J58" s="1">
        <v>5</v>
      </c>
      <c r="K58" s="6"/>
      <c r="L58" s="6"/>
    </row>
    <row r="59" spans="1:12" ht="15.75" customHeight="1" x14ac:dyDescent="0.2">
      <c r="A59" s="3">
        <v>46019</v>
      </c>
      <c r="B59" s="1">
        <v>3</v>
      </c>
      <c r="C59" s="1" t="s">
        <v>44</v>
      </c>
      <c r="D59" s="1" t="str">
        <f t="shared" si="1"/>
        <v/>
      </c>
      <c r="E59" s="1" t="s">
        <v>15</v>
      </c>
      <c r="F59" s="1" t="s">
        <v>22</v>
      </c>
      <c r="G59" s="1" t="s">
        <v>79</v>
      </c>
      <c r="H59" s="1">
        <v>7</v>
      </c>
      <c r="I59" s="1">
        <v>4</v>
      </c>
      <c r="J59" s="1">
        <v>10</v>
      </c>
      <c r="K59" s="6"/>
      <c r="L59" s="6"/>
    </row>
    <row r="60" spans="1:12" ht="15.75" customHeight="1" x14ac:dyDescent="0.2">
      <c r="A60" s="3">
        <v>46019</v>
      </c>
      <c r="B60" s="1">
        <v>3</v>
      </c>
      <c r="C60" s="1" t="s">
        <v>37</v>
      </c>
      <c r="D60" s="1" t="str">
        <f t="shared" si="1"/>
        <v/>
      </c>
      <c r="E60" s="1" t="s">
        <v>15</v>
      </c>
      <c r="F60" s="1" t="s">
        <v>18</v>
      </c>
      <c r="G60" s="1" t="s">
        <v>63</v>
      </c>
      <c r="H60" s="1">
        <v>7</v>
      </c>
      <c r="I60" s="1">
        <v>2</v>
      </c>
      <c r="J60" s="1">
        <v>7</v>
      </c>
      <c r="K60" s="6"/>
      <c r="L60" s="6"/>
    </row>
    <row r="61" spans="1:12" ht="15.75" customHeight="1" x14ac:dyDescent="0.2">
      <c r="A61" s="3">
        <v>46019</v>
      </c>
      <c r="B61" s="1">
        <v>3</v>
      </c>
      <c r="C61" s="1" t="s">
        <v>27</v>
      </c>
      <c r="D61" s="1" t="str">
        <f t="shared" si="1"/>
        <v/>
      </c>
      <c r="E61" s="1" t="s">
        <v>15</v>
      </c>
      <c r="F61" s="1" t="s">
        <v>28</v>
      </c>
      <c r="G61" s="1" t="s">
        <v>80</v>
      </c>
      <c r="H61" s="1">
        <v>8</v>
      </c>
      <c r="I61" s="1">
        <v>4</v>
      </c>
      <c r="J61" s="1">
        <v>9</v>
      </c>
      <c r="K61" s="6"/>
      <c r="L61" s="6"/>
    </row>
    <row r="62" spans="1:12" ht="15.75" customHeight="1" x14ac:dyDescent="0.2">
      <c r="A62" s="3">
        <v>46019</v>
      </c>
      <c r="B62" s="1">
        <v>3</v>
      </c>
      <c r="C62" s="1" t="s">
        <v>20</v>
      </c>
      <c r="D62" s="1" t="str">
        <f t="shared" si="1"/>
        <v/>
      </c>
      <c r="E62" s="1" t="s">
        <v>15</v>
      </c>
      <c r="F62" s="1" t="s">
        <v>30</v>
      </c>
      <c r="G62" s="1" t="s">
        <v>81</v>
      </c>
      <c r="H62" s="1">
        <v>2</v>
      </c>
      <c r="I62" s="1">
        <v>6</v>
      </c>
      <c r="J62" s="1">
        <v>14</v>
      </c>
      <c r="K62" s="6"/>
      <c r="L62" s="6"/>
    </row>
    <row r="63" spans="1:12" ht="15.75" customHeight="1" x14ac:dyDescent="0.2">
      <c r="A63" s="3">
        <v>46026</v>
      </c>
      <c r="B63" s="1">
        <v>1</v>
      </c>
      <c r="C63" s="1" t="s">
        <v>14</v>
      </c>
      <c r="D63" s="1" t="str">
        <f t="shared" si="1"/>
        <v>승</v>
      </c>
      <c r="E63" s="1" t="s">
        <v>15</v>
      </c>
      <c r="F63" s="1" t="s">
        <v>16</v>
      </c>
      <c r="G63" s="1" t="s">
        <v>17</v>
      </c>
      <c r="H63" s="1">
        <v>10</v>
      </c>
      <c r="I63" s="1">
        <v>4</v>
      </c>
      <c r="J63" s="1">
        <v>9</v>
      </c>
      <c r="K63" s="2">
        <v>57894</v>
      </c>
      <c r="L63" s="2">
        <v>17764</v>
      </c>
    </row>
    <row r="64" spans="1:12" ht="15.75" customHeight="1" x14ac:dyDescent="0.2">
      <c r="A64" s="3">
        <v>46026</v>
      </c>
      <c r="B64" s="1">
        <v>1</v>
      </c>
      <c r="C64" s="1" t="s">
        <v>21</v>
      </c>
      <c r="D64" s="1" t="str">
        <f t="shared" si="1"/>
        <v>승</v>
      </c>
      <c r="E64" s="1" t="s">
        <v>15</v>
      </c>
      <c r="F64" s="1" t="s">
        <v>22</v>
      </c>
      <c r="G64" s="1" t="s">
        <v>23</v>
      </c>
      <c r="H64" s="1">
        <v>7</v>
      </c>
      <c r="I64" s="1">
        <v>2</v>
      </c>
      <c r="J64" s="1">
        <v>14</v>
      </c>
      <c r="K64" s="2">
        <v>198862</v>
      </c>
      <c r="L64" s="2">
        <v>15980</v>
      </c>
    </row>
    <row r="65" spans="1:12" ht="15.75" customHeight="1" x14ac:dyDescent="0.2">
      <c r="A65" s="3">
        <v>46026</v>
      </c>
      <c r="B65" s="1">
        <v>1</v>
      </c>
      <c r="C65" s="1" t="s">
        <v>25</v>
      </c>
      <c r="D65" s="1" t="str">
        <f t="shared" si="1"/>
        <v>승</v>
      </c>
      <c r="E65" s="1" t="s">
        <v>15</v>
      </c>
      <c r="F65" s="1" t="s">
        <v>18</v>
      </c>
      <c r="G65" s="1" t="s">
        <v>26</v>
      </c>
      <c r="H65" s="1">
        <v>11</v>
      </c>
      <c r="I65" s="1">
        <v>4</v>
      </c>
      <c r="J65" s="1">
        <v>8</v>
      </c>
      <c r="K65" s="2">
        <v>35874</v>
      </c>
      <c r="L65" s="2">
        <v>16298</v>
      </c>
    </row>
    <row r="66" spans="1:12" ht="15.75" customHeight="1" x14ac:dyDescent="0.2">
      <c r="A66" s="3">
        <v>46026</v>
      </c>
      <c r="B66" s="1">
        <v>1</v>
      </c>
      <c r="C66" s="1" t="s">
        <v>27</v>
      </c>
      <c r="D66" s="1" t="str">
        <f t="shared" si="1"/>
        <v>승</v>
      </c>
      <c r="E66" s="1" t="s">
        <v>15</v>
      </c>
      <c r="F66" s="1" t="s">
        <v>28</v>
      </c>
      <c r="G66" s="1" t="s">
        <v>29</v>
      </c>
      <c r="H66" s="1">
        <v>4</v>
      </c>
      <c r="I66" s="1">
        <v>5</v>
      </c>
      <c r="J66" s="1">
        <v>7</v>
      </c>
      <c r="K66" s="2">
        <v>21835</v>
      </c>
      <c r="L66" s="2">
        <v>14510</v>
      </c>
    </row>
    <row r="67" spans="1:12" ht="15.75" customHeight="1" x14ac:dyDescent="0.2">
      <c r="A67" s="3">
        <v>46026</v>
      </c>
      <c r="B67" s="1">
        <v>1</v>
      </c>
      <c r="C67" s="1" t="s">
        <v>20</v>
      </c>
      <c r="D67" s="1" t="str">
        <f t="shared" si="1"/>
        <v>승</v>
      </c>
      <c r="E67" s="1" t="s">
        <v>15</v>
      </c>
      <c r="F67" s="1" t="s">
        <v>30</v>
      </c>
      <c r="G67" s="1" t="s">
        <v>31</v>
      </c>
      <c r="H67" s="1">
        <v>5</v>
      </c>
      <c r="I67" s="1">
        <v>7</v>
      </c>
      <c r="J67" s="1">
        <v>10</v>
      </c>
      <c r="K67" s="2">
        <v>11990</v>
      </c>
      <c r="L67" s="2">
        <v>11087</v>
      </c>
    </row>
    <row r="68" spans="1:12" ht="15.75" customHeight="1" x14ac:dyDescent="0.2">
      <c r="A68" s="3">
        <v>46026</v>
      </c>
      <c r="B68" s="1">
        <v>1</v>
      </c>
      <c r="C68" s="1" t="s">
        <v>32</v>
      </c>
      <c r="D68" s="1" t="str">
        <f t="shared" si="1"/>
        <v>패</v>
      </c>
      <c r="E68" s="1" t="s">
        <v>33</v>
      </c>
      <c r="F68" s="1" t="s">
        <v>16</v>
      </c>
      <c r="G68" s="1" t="s">
        <v>34</v>
      </c>
      <c r="H68" s="1">
        <v>1</v>
      </c>
      <c r="I68" s="1">
        <v>6</v>
      </c>
      <c r="J68" s="1">
        <v>7</v>
      </c>
      <c r="K68" s="2">
        <v>19128</v>
      </c>
      <c r="L68" s="2">
        <v>11662</v>
      </c>
    </row>
    <row r="69" spans="1:12" ht="15.75" customHeight="1" x14ac:dyDescent="0.2">
      <c r="A69" s="3">
        <v>46026</v>
      </c>
      <c r="B69" s="1">
        <v>1</v>
      </c>
      <c r="C69" s="1" t="s">
        <v>35</v>
      </c>
      <c r="D69" s="1" t="str">
        <f t="shared" si="1"/>
        <v>패</v>
      </c>
      <c r="E69" s="1" t="s">
        <v>33</v>
      </c>
      <c r="F69" s="1" t="s">
        <v>22</v>
      </c>
      <c r="G69" s="1" t="s">
        <v>36</v>
      </c>
      <c r="H69" s="1">
        <v>6</v>
      </c>
      <c r="I69" s="1">
        <v>10</v>
      </c>
      <c r="J69" s="1">
        <v>8</v>
      </c>
      <c r="K69" s="2">
        <v>18549</v>
      </c>
      <c r="L69" s="2">
        <v>12315</v>
      </c>
    </row>
    <row r="70" spans="1:12" ht="15.75" customHeight="1" x14ac:dyDescent="0.2">
      <c r="A70" s="3">
        <v>46026</v>
      </c>
      <c r="B70" s="1">
        <v>1</v>
      </c>
      <c r="C70" s="1" t="s">
        <v>37</v>
      </c>
      <c r="D70" s="1" t="str">
        <f t="shared" si="1"/>
        <v>패</v>
      </c>
      <c r="E70" s="1" t="s">
        <v>33</v>
      </c>
      <c r="F70" s="1" t="s">
        <v>18</v>
      </c>
      <c r="G70" s="1" t="s">
        <v>24</v>
      </c>
      <c r="H70" s="1">
        <v>7</v>
      </c>
      <c r="I70" s="1">
        <v>7</v>
      </c>
      <c r="J70" s="1">
        <v>7</v>
      </c>
      <c r="K70" s="2">
        <v>19883</v>
      </c>
      <c r="L70" s="2">
        <v>13155</v>
      </c>
    </row>
    <row r="71" spans="1:12" ht="15.75" customHeight="1" x14ac:dyDescent="0.2">
      <c r="A71" s="3">
        <v>46026</v>
      </c>
      <c r="B71" s="1">
        <v>1</v>
      </c>
      <c r="C71" s="1" t="s">
        <v>38</v>
      </c>
      <c r="D71" s="1" t="str">
        <f t="shared" si="1"/>
        <v>패</v>
      </c>
      <c r="E71" s="1" t="s">
        <v>33</v>
      </c>
      <c r="F71" s="1" t="s">
        <v>28</v>
      </c>
      <c r="G71" s="1" t="s">
        <v>39</v>
      </c>
      <c r="H71" s="1">
        <v>5</v>
      </c>
      <c r="I71" s="1">
        <v>4</v>
      </c>
      <c r="J71" s="1">
        <v>10</v>
      </c>
      <c r="K71" s="2">
        <v>22767</v>
      </c>
      <c r="L71" s="2">
        <v>15075</v>
      </c>
    </row>
    <row r="72" spans="1:12" ht="15.75" customHeight="1" x14ac:dyDescent="0.2">
      <c r="A72" s="3">
        <v>46026</v>
      </c>
      <c r="B72" s="1">
        <v>1</v>
      </c>
      <c r="C72" s="1" t="s">
        <v>40</v>
      </c>
      <c r="D72" s="1" t="str">
        <f t="shared" si="1"/>
        <v>패</v>
      </c>
      <c r="E72" s="1" t="s">
        <v>33</v>
      </c>
      <c r="F72" s="1" t="s">
        <v>30</v>
      </c>
      <c r="G72" s="1" t="s">
        <v>41</v>
      </c>
      <c r="H72" s="1">
        <v>3</v>
      </c>
      <c r="I72" s="1">
        <v>10</v>
      </c>
      <c r="J72" s="1">
        <v>13</v>
      </c>
      <c r="K72" s="2">
        <v>13368</v>
      </c>
      <c r="L72" s="2">
        <v>9564</v>
      </c>
    </row>
    <row r="73" spans="1:12" ht="15.75" customHeight="1" x14ac:dyDescent="0.2">
      <c r="A73" s="3">
        <v>46026</v>
      </c>
      <c r="B73" s="1">
        <v>2</v>
      </c>
      <c r="C73" s="1" t="s">
        <v>25</v>
      </c>
      <c r="D73" s="1" t="str">
        <f t="shared" si="1"/>
        <v/>
      </c>
      <c r="E73" s="1" t="s">
        <v>33</v>
      </c>
      <c r="F73" s="1" t="s">
        <v>16</v>
      </c>
      <c r="G73" s="1" t="s">
        <v>26</v>
      </c>
      <c r="H73" s="1">
        <v>7</v>
      </c>
      <c r="I73" s="1">
        <v>2</v>
      </c>
      <c r="J73" s="1">
        <v>2</v>
      </c>
      <c r="K73" s="2">
        <v>18870</v>
      </c>
      <c r="L73" s="2">
        <v>12082</v>
      </c>
    </row>
    <row r="74" spans="1:12" ht="15.75" customHeight="1" x14ac:dyDescent="0.2">
      <c r="A74" s="3">
        <v>46026</v>
      </c>
      <c r="B74" s="1">
        <v>2</v>
      </c>
      <c r="C74" s="1" t="s">
        <v>21</v>
      </c>
      <c r="D74" s="1" t="str">
        <f t="shared" si="1"/>
        <v/>
      </c>
      <c r="E74" s="1" t="s">
        <v>33</v>
      </c>
      <c r="F74" s="1" t="s">
        <v>22</v>
      </c>
      <c r="G74" s="1" t="s">
        <v>43</v>
      </c>
      <c r="H74" s="1">
        <v>6</v>
      </c>
      <c r="I74" s="1">
        <v>11</v>
      </c>
      <c r="J74" s="1">
        <v>3</v>
      </c>
      <c r="K74" s="2">
        <v>13939</v>
      </c>
      <c r="L74" s="2">
        <v>9673</v>
      </c>
    </row>
    <row r="75" spans="1:12" ht="15.75" customHeight="1" x14ac:dyDescent="0.2">
      <c r="A75" s="3">
        <v>46026</v>
      </c>
      <c r="B75" s="1">
        <v>2</v>
      </c>
      <c r="C75" s="1" t="s">
        <v>14</v>
      </c>
      <c r="D75" s="1" t="str">
        <f t="shared" si="1"/>
        <v/>
      </c>
      <c r="E75" s="1" t="s">
        <v>33</v>
      </c>
      <c r="F75" s="1" t="s">
        <v>18</v>
      </c>
      <c r="G75" s="1" t="s">
        <v>17</v>
      </c>
      <c r="H75" s="1">
        <v>1</v>
      </c>
      <c r="I75" s="1">
        <v>8</v>
      </c>
      <c r="J75" s="1">
        <v>6</v>
      </c>
      <c r="K75" s="2">
        <v>15807</v>
      </c>
      <c r="L75" s="2">
        <v>9011</v>
      </c>
    </row>
    <row r="76" spans="1:12" ht="15.75" customHeight="1" x14ac:dyDescent="0.2">
      <c r="A76" s="3">
        <v>46026</v>
      </c>
      <c r="B76" s="1">
        <v>2</v>
      </c>
      <c r="C76" s="1" t="s">
        <v>27</v>
      </c>
      <c r="D76" s="1" t="str">
        <f t="shared" si="1"/>
        <v/>
      </c>
      <c r="E76" s="1" t="s">
        <v>33</v>
      </c>
      <c r="F76" s="1" t="s">
        <v>28</v>
      </c>
      <c r="G76" s="1" t="s">
        <v>46</v>
      </c>
      <c r="H76" s="1">
        <v>2</v>
      </c>
      <c r="I76" s="1">
        <v>4</v>
      </c>
      <c r="J76" s="1">
        <v>6</v>
      </c>
      <c r="K76" s="2">
        <v>17542</v>
      </c>
      <c r="L76" s="2">
        <v>9678</v>
      </c>
    </row>
    <row r="77" spans="1:12" ht="15.75" customHeight="1" x14ac:dyDescent="0.2">
      <c r="A77" s="3">
        <v>46026</v>
      </c>
      <c r="B77" s="1">
        <v>2</v>
      </c>
      <c r="C77" s="1" t="s">
        <v>20</v>
      </c>
      <c r="D77" s="1" t="str">
        <f t="shared" si="1"/>
        <v/>
      </c>
      <c r="E77" s="1" t="s">
        <v>33</v>
      </c>
      <c r="F77" s="1" t="s">
        <v>30</v>
      </c>
      <c r="G77" s="1" t="s">
        <v>48</v>
      </c>
      <c r="H77" s="1">
        <v>2</v>
      </c>
      <c r="I77" s="1">
        <v>9</v>
      </c>
      <c r="J77" s="1">
        <v>8</v>
      </c>
      <c r="K77" s="2">
        <v>18437</v>
      </c>
      <c r="L77" s="2">
        <v>7401</v>
      </c>
    </row>
    <row r="78" spans="1:12" ht="15.75" customHeight="1" x14ac:dyDescent="0.2">
      <c r="A78" s="3">
        <v>46026</v>
      </c>
      <c r="B78" s="1">
        <v>2</v>
      </c>
      <c r="C78" s="1" t="s">
        <v>32</v>
      </c>
      <c r="D78" s="1" t="str">
        <f t="shared" si="1"/>
        <v/>
      </c>
      <c r="E78" s="1" t="s">
        <v>15</v>
      </c>
      <c r="F78" s="1" t="s">
        <v>16</v>
      </c>
      <c r="G78" s="1" t="s">
        <v>50</v>
      </c>
      <c r="H78" s="1">
        <v>2</v>
      </c>
      <c r="I78" s="1">
        <v>3</v>
      </c>
      <c r="J78" s="1">
        <v>13</v>
      </c>
      <c r="K78" s="2">
        <v>14617</v>
      </c>
      <c r="L78" s="2">
        <v>9258</v>
      </c>
    </row>
    <row r="79" spans="1:12" ht="15.75" customHeight="1" x14ac:dyDescent="0.2">
      <c r="A79" s="3">
        <v>46026</v>
      </c>
      <c r="B79" s="1">
        <v>2</v>
      </c>
      <c r="C79" s="1" t="s">
        <v>35</v>
      </c>
      <c r="D79" s="1" t="str">
        <f t="shared" si="1"/>
        <v/>
      </c>
      <c r="E79" s="1" t="s">
        <v>15</v>
      </c>
      <c r="F79" s="1" t="s">
        <v>22</v>
      </c>
      <c r="G79" s="1" t="s">
        <v>52</v>
      </c>
      <c r="H79" s="1">
        <v>4</v>
      </c>
      <c r="I79" s="1">
        <v>8</v>
      </c>
      <c r="J79" s="1">
        <v>17</v>
      </c>
      <c r="K79" s="2">
        <v>25760</v>
      </c>
      <c r="L79" s="2">
        <v>11268</v>
      </c>
    </row>
    <row r="80" spans="1:12" ht="15.75" customHeight="1" x14ac:dyDescent="0.2">
      <c r="A80" s="3">
        <v>46026</v>
      </c>
      <c r="B80" s="1">
        <v>2</v>
      </c>
      <c r="C80" s="1" t="s">
        <v>37</v>
      </c>
      <c r="D80" s="1" t="str">
        <f t="shared" si="1"/>
        <v/>
      </c>
      <c r="E80" s="1" t="s">
        <v>15</v>
      </c>
      <c r="F80" s="1" t="s">
        <v>18</v>
      </c>
      <c r="G80" s="1" t="s">
        <v>24</v>
      </c>
      <c r="H80" s="1">
        <v>8</v>
      </c>
      <c r="I80" s="1">
        <v>3</v>
      </c>
      <c r="J80" s="1">
        <v>10</v>
      </c>
      <c r="K80" s="2">
        <v>18998</v>
      </c>
      <c r="L80" s="2">
        <v>12263</v>
      </c>
    </row>
    <row r="81" spans="1:12" ht="15.75" customHeight="1" x14ac:dyDescent="0.2">
      <c r="A81" s="3">
        <v>46026</v>
      </c>
      <c r="B81" s="1">
        <v>2</v>
      </c>
      <c r="C81" s="1" t="s">
        <v>38</v>
      </c>
      <c r="D81" s="1" t="str">
        <f t="shared" si="1"/>
        <v/>
      </c>
      <c r="E81" s="1" t="s">
        <v>15</v>
      </c>
      <c r="F81" s="1" t="s">
        <v>28</v>
      </c>
      <c r="G81" s="1" t="s">
        <v>55</v>
      </c>
      <c r="H81" s="1">
        <v>19</v>
      </c>
      <c r="I81" s="1">
        <v>2</v>
      </c>
      <c r="J81" s="1">
        <v>6</v>
      </c>
      <c r="K81" s="2">
        <v>32914</v>
      </c>
      <c r="L81" s="2">
        <v>16811</v>
      </c>
    </row>
    <row r="82" spans="1:12" ht="15.75" customHeight="1" x14ac:dyDescent="0.2">
      <c r="A82" s="3">
        <v>46026</v>
      </c>
      <c r="B82" s="1">
        <v>2</v>
      </c>
      <c r="C82" s="1" t="s">
        <v>40</v>
      </c>
      <c r="D82" s="1" t="str">
        <f t="shared" si="1"/>
        <v/>
      </c>
      <c r="E82" s="1" t="s">
        <v>15</v>
      </c>
      <c r="F82" s="1" t="s">
        <v>30</v>
      </c>
      <c r="G82" s="1" t="s">
        <v>57</v>
      </c>
      <c r="H82" s="1">
        <v>1</v>
      </c>
      <c r="I82" s="1">
        <v>2</v>
      </c>
      <c r="J82" s="1">
        <v>26</v>
      </c>
      <c r="K82" s="2">
        <v>10730</v>
      </c>
      <c r="L82" s="2">
        <v>8203</v>
      </c>
    </row>
    <row r="83" spans="1:12" ht="15.75" customHeight="1" x14ac:dyDescent="0.2">
      <c r="A83" s="3">
        <v>46026</v>
      </c>
      <c r="B83" s="1">
        <v>3</v>
      </c>
      <c r="C83" s="1" t="s">
        <v>25</v>
      </c>
      <c r="D83" s="1" t="str">
        <f t="shared" si="1"/>
        <v/>
      </c>
      <c r="E83" s="1" t="s">
        <v>15</v>
      </c>
      <c r="F83" s="1" t="s">
        <v>16</v>
      </c>
      <c r="G83" s="1" t="s">
        <v>26</v>
      </c>
      <c r="H83" s="1">
        <v>6</v>
      </c>
      <c r="I83" s="1">
        <v>3</v>
      </c>
      <c r="J83" s="1">
        <v>8</v>
      </c>
      <c r="K83" s="2">
        <v>29156</v>
      </c>
      <c r="L83" s="2">
        <v>11691</v>
      </c>
    </row>
    <row r="84" spans="1:12" ht="15.75" customHeight="1" x14ac:dyDescent="0.2">
      <c r="A84" s="3">
        <v>46026</v>
      </c>
      <c r="B84" s="1">
        <v>3</v>
      </c>
      <c r="C84" s="1" t="s">
        <v>21</v>
      </c>
      <c r="D84" s="1" t="str">
        <f t="shared" si="1"/>
        <v/>
      </c>
      <c r="E84" s="1" t="s">
        <v>15</v>
      </c>
      <c r="F84" s="1" t="s">
        <v>22</v>
      </c>
      <c r="G84" s="1" t="s">
        <v>43</v>
      </c>
      <c r="H84" s="1">
        <v>7</v>
      </c>
      <c r="I84" s="1">
        <v>2</v>
      </c>
      <c r="J84" s="1">
        <v>14</v>
      </c>
      <c r="K84" s="2">
        <v>15372</v>
      </c>
      <c r="L84" s="2">
        <v>12365</v>
      </c>
    </row>
    <row r="85" spans="1:12" ht="15.75" customHeight="1" x14ac:dyDescent="0.2">
      <c r="A85" s="3">
        <v>46026</v>
      </c>
      <c r="B85" s="1">
        <v>3</v>
      </c>
      <c r="C85" s="1" t="s">
        <v>14</v>
      </c>
      <c r="D85" s="1" t="str">
        <f t="shared" si="1"/>
        <v/>
      </c>
      <c r="E85" s="1" t="s">
        <v>15</v>
      </c>
      <c r="F85" s="1" t="s">
        <v>18</v>
      </c>
      <c r="G85" s="1" t="s">
        <v>17</v>
      </c>
      <c r="H85" s="1">
        <v>5</v>
      </c>
      <c r="I85" s="1">
        <v>1</v>
      </c>
      <c r="J85" s="1">
        <v>4</v>
      </c>
      <c r="K85" s="2">
        <v>20452</v>
      </c>
      <c r="L85" s="2">
        <v>14703</v>
      </c>
    </row>
    <row r="86" spans="1:12" ht="15.75" customHeight="1" x14ac:dyDescent="0.2">
      <c r="A86" s="3">
        <v>46026</v>
      </c>
      <c r="B86" s="1">
        <v>3</v>
      </c>
      <c r="C86" s="1" t="s">
        <v>27</v>
      </c>
      <c r="D86" s="1" t="str">
        <f t="shared" si="1"/>
        <v/>
      </c>
      <c r="E86" s="1" t="s">
        <v>15</v>
      </c>
      <c r="F86" s="1" t="s">
        <v>28</v>
      </c>
      <c r="G86" s="1" t="s">
        <v>59</v>
      </c>
      <c r="H86" s="1">
        <v>12</v>
      </c>
      <c r="I86" s="1">
        <v>3</v>
      </c>
      <c r="J86" s="1">
        <v>6</v>
      </c>
      <c r="K86" s="2">
        <v>24440</v>
      </c>
      <c r="L86" s="2">
        <v>14670</v>
      </c>
    </row>
    <row r="87" spans="1:12" ht="15.75" customHeight="1" x14ac:dyDescent="0.2">
      <c r="A87" s="3">
        <v>46026</v>
      </c>
      <c r="B87" s="1">
        <v>3</v>
      </c>
      <c r="C87" s="1" t="s">
        <v>20</v>
      </c>
      <c r="D87" s="1" t="str">
        <f t="shared" si="1"/>
        <v/>
      </c>
      <c r="E87" s="1" t="s">
        <v>15</v>
      </c>
      <c r="F87" s="1" t="s">
        <v>30</v>
      </c>
      <c r="G87" s="1" t="s">
        <v>60</v>
      </c>
      <c r="H87" s="1">
        <v>1</v>
      </c>
      <c r="I87" s="1">
        <v>4</v>
      </c>
      <c r="J87" s="1">
        <v>16</v>
      </c>
      <c r="K87" s="2">
        <v>16943</v>
      </c>
      <c r="L87" s="2">
        <v>8224</v>
      </c>
    </row>
    <row r="88" spans="1:12" ht="15.75" customHeight="1" x14ac:dyDescent="0.2">
      <c r="A88" s="3">
        <v>46026</v>
      </c>
      <c r="B88" s="1">
        <v>3</v>
      </c>
      <c r="C88" s="1" t="s">
        <v>32</v>
      </c>
      <c r="D88" s="1" t="str">
        <f t="shared" si="1"/>
        <v/>
      </c>
      <c r="E88" s="1" t="s">
        <v>33</v>
      </c>
      <c r="F88" s="1" t="s">
        <v>16</v>
      </c>
      <c r="G88" s="1" t="s">
        <v>61</v>
      </c>
      <c r="H88" s="1">
        <v>2</v>
      </c>
      <c r="I88" s="1">
        <v>6</v>
      </c>
      <c r="J88" s="1">
        <v>3</v>
      </c>
      <c r="K88" s="2">
        <v>11878</v>
      </c>
      <c r="L88" s="2">
        <v>10311</v>
      </c>
    </row>
    <row r="89" spans="1:12" ht="15.75" customHeight="1" x14ac:dyDescent="0.2">
      <c r="A89" s="3">
        <v>46026</v>
      </c>
      <c r="B89" s="1">
        <v>3</v>
      </c>
      <c r="C89" s="1" t="s">
        <v>35</v>
      </c>
      <c r="D89" s="1" t="str">
        <f t="shared" si="1"/>
        <v/>
      </c>
      <c r="E89" s="1" t="s">
        <v>33</v>
      </c>
      <c r="F89" s="1" t="s">
        <v>22</v>
      </c>
      <c r="G89" s="1" t="s">
        <v>62</v>
      </c>
      <c r="H89" s="1">
        <v>6</v>
      </c>
      <c r="I89" s="1">
        <v>6</v>
      </c>
      <c r="J89" s="1">
        <v>4</v>
      </c>
      <c r="K89" s="2">
        <v>14801</v>
      </c>
      <c r="L89" s="2">
        <v>12105</v>
      </c>
    </row>
    <row r="90" spans="1:12" ht="15.75" customHeight="1" x14ac:dyDescent="0.2">
      <c r="A90" s="3">
        <v>46026</v>
      </c>
      <c r="B90" s="1">
        <v>3</v>
      </c>
      <c r="C90" s="1" t="s">
        <v>37</v>
      </c>
      <c r="D90" s="1" t="str">
        <f t="shared" si="1"/>
        <v/>
      </c>
      <c r="E90" s="1" t="s">
        <v>33</v>
      </c>
      <c r="F90" s="1" t="s">
        <v>18</v>
      </c>
      <c r="G90" s="1" t="s">
        <v>63</v>
      </c>
      <c r="H90" s="1">
        <v>4</v>
      </c>
      <c r="I90" s="1">
        <v>6</v>
      </c>
      <c r="J90" s="1">
        <v>5</v>
      </c>
      <c r="K90" s="2">
        <v>16595</v>
      </c>
      <c r="L90" s="2">
        <v>10995</v>
      </c>
    </row>
    <row r="91" spans="1:12" ht="15.75" customHeight="1" x14ac:dyDescent="0.2">
      <c r="A91" s="3">
        <v>46026</v>
      </c>
      <c r="B91" s="1">
        <v>3</v>
      </c>
      <c r="C91" s="1" t="s">
        <v>38</v>
      </c>
      <c r="D91" s="1" t="str">
        <f t="shared" si="1"/>
        <v/>
      </c>
      <c r="E91" s="1" t="s">
        <v>33</v>
      </c>
      <c r="F91" s="1" t="s">
        <v>28</v>
      </c>
      <c r="G91" s="1" t="s">
        <v>64</v>
      </c>
      <c r="H91" s="1">
        <v>0</v>
      </c>
      <c r="I91" s="1">
        <v>5</v>
      </c>
      <c r="J91" s="1">
        <v>6</v>
      </c>
      <c r="K91" s="2">
        <v>13261</v>
      </c>
      <c r="L91" s="2">
        <v>8982</v>
      </c>
    </row>
    <row r="92" spans="1:12" ht="15.75" customHeight="1" x14ac:dyDescent="0.2">
      <c r="A92" s="3">
        <v>46026</v>
      </c>
      <c r="B92" s="1">
        <v>3</v>
      </c>
      <c r="C92" s="1" t="s">
        <v>40</v>
      </c>
      <c r="D92" s="1" t="str">
        <f t="shared" si="1"/>
        <v/>
      </c>
      <c r="E92" s="1" t="s">
        <v>33</v>
      </c>
      <c r="F92" s="1" t="s">
        <v>30</v>
      </c>
      <c r="G92" s="1" t="s">
        <v>65</v>
      </c>
      <c r="H92" s="1">
        <v>1</v>
      </c>
      <c r="I92" s="1">
        <v>8</v>
      </c>
      <c r="J92" s="1">
        <v>8</v>
      </c>
      <c r="K92" s="2">
        <v>7688</v>
      </c>
      <c r="L92" s="2">
        <v>6986</v>
      </c>
    </row>
    <row r="93" spans="1:12" ht="15.75" customHeight="1" x14ac:dyDescent="0.2">
      <c r="A93" s="7">
        <v>46033</v>
      </c>
      <c r="B93" s="1">
        <v>1</v>
      </c>
      <c r="C93" s="1" t="s">
        <v>42</v>
      </c>
      <c r="D93" s="1" t="str">
        <f t="shared" si="1"/>
        <v>승</v>
      </c>
      <c r="E93" s="1" t="s">
        <v>15</v>
      </c>
      <c r="F93" s="1" t="s">
        <v>16</v>
      </c>
      <c r="G93" s="1" t="s">
        <v>89</v>
      </c>
      <c r="H93" s="1">
        <v>0</v>
      </c>
      <c r="I93" s="1">
        <v>4</v>
      </c>
      <c r="J93" s="1">
        <v>5</v>
      </c>
      <c r="K93" s="6"/>
      <c r="L93" s="2">
        <v>6025</v>
      </c>
    </row>
    <row r="94" spans="1:12" ht="15.75" customHeight="1" x14ac:dyDescent="0.2">
      <c r="A94" s="7">
        <v>46033</v>
      </c>
      <c r="B94" s="1">
        <v>1</v>
      </c>
      <c r="C94" s="1" t="s">
        <v>21</v>
      </c>
      <c r="D94" s="1" t="str">
        <f t="shared" si="1"/>
        <v>승</v>
      </c>
      <c r="E94" s="1" t="s">
        <v>15</v>
      </c>
      <c r="F94" s="1" t="s">
        <v>22</v>
      </c>
      <c r="G94" s="1" t="s">
        <v>43</v>
      </c>
      <c r="H94" s="1">
        <v>5</v>
      </c>
      <c r="I94" s="1">
        <v>1</v>
      </c>
      <c r="J94" s="1">
        <v>6</v>
      </c>
      <c r="K94" s="6"/>
      <c r="L94" s="2">
        <v>8937</v>
      </c>
    </row>
    <row r="95" spans="1:12" ht="15.75" customHeight="1" x14ac:dyDescent="0.2">
      <c r="A95" s="7">
        <v>46033</v>
      </c>
      <c r="B95" s="1">
        <v>1</v>
      </c>
      <c r="C95" s="1" t="s">
        <v>14</v>
      </c>
      <c r="D95" s="1" t="str">
        <f t="shared" si="1"/>
        <v>승</v>
      </c>
      <c r="E95" s="1" t="s">
        <v>15</v>
      </c>
      <c r="F95" s="1" t="s">
        <v>18</v>
      </c>
      <c r="G95" s="1" t="s">
        <v>19</v>
      </c>
      <c r="H95" s="1">
        <v>3</v>
      </c>
      <c r="I95" s="1">
        <v>3</v>
      </c>
      <c r="J95" s="1">
        <v>6</v>
      </c>
      <c r="K95" s="6"/>
      <c r="L95" s="2">
        <v>7738</v>
      </c>
    </row>
    <row r="96" spans="1:12" ht="15.75" customHeight="1" x14ac:dyDescent="0.2">
      <c r="A96" s="7">
        <v>46033</v>
      </c>
      <c r="B96" s="1">
        <v>1</v>
      </c>
      <c r="C96" s="1" t="s">
        <v>38</v>
      </c>
      <c r="D96" s="1" t="str">
        <f t="shared" si="1"/>
        <v>승</v>
      </c>
      <c r="E96" s="1" t="s">
        <v>15</v>
      </c>
      <c r="F96" s="1" t="s">
        <v>28</v>
      </c>
      <c r="G96" s="1" t="s">
        <v>90</v>
      </c>
      <c r="H96" s="1">
        <v>15</v>
      </c>
      <c r="I96" s="1">
        <v>3</v>
      </c>
      <c r="J96" s="1">
        <v>0</v>
      </c>
      <c r="K96" s="6"/>
      <c r="L96" s="2">
        <v>12137</v>
      </c>
    </row>
    <row r="97" spans="1:12" ht="15.75" customHeight="1" x14ac:dyDescent="0.2">
      <c r="A97" s="7">
        <v>46033</v>
      </c>
      <c r="B97" s="1">
        <v>1</v>
      </c>
      <c r="C97" s="1" t="s">
        <v>20</v>
      </c>
      <c r="D97" s="1" t="str">
        <f t="shared" si="1"/>
        <v>승</v>
      </c>
      <c r="E97" s="1" t="s">
        <v>15</v>
      </c>
      <c r="F97" s="1" t="s">
        <v>30</v>
      </c>
      <c r="G97" s="1" t="s">
        <v>41</v>
      </c>
      <c r="H97" s="1">
        <v>1</v>
      </c>
      <c r="I97" s="1">
        <v>4</v>
      </c>
      <c r="J97" s="1">
        <v>15</v>
      </c>
      <c r="K97" s="6"/>
      <c r="L97" s="2">
        <v>6910</v>
      </c>
    </row>
    <row r="98" spans="1:12" ht="15.75" customHeight="1" x14ac:dyDescent="0.2">
      <c r="A98" s="7">
        <v>46033</v>
      </c>
      <c r="B98" s="1">
        <v>1</v>
      </c>
      <c r="C98" s="1" t="s">
        <v>47</v>
      </c>
      <c r="D98" s="1" t="str">
        <f t="shared" ref="D98:D161" si="2">IF(B98=1,IF(COUNTIFS(A$2:A$1000,A98,C$2:C$1000,C98,E$2:E$1000,"승")&gt;COUNTIFS(A$2:A$1000,A98,C$2:C$1000,C98,E$2:E$1000,"패"),"승","패"),"")</f>
        <v>패</v>
      </c>
      <c r="E98" s="1" t="s">
        <v>33</v>
      </c>
      <c r="F98" s="1" t="s">
        <v>16</v>
      </c>
      <c r="G98" s="1" t="s">
        <v>83</v>
      </c>
      <c r="H98" s="1">
        <v>4</v>
      </c>
      <c r="I98" s="1">
        <v>4</v>
      </c>
      <c r="J98" s="1">
        <v>2</v>
      </c>
      <c r="K98" s="6"/>
      <c r="L98" s="2">
        <v>7828</v>
      </c>
    </row>
    <row r="99" spans="1:12" ht="15.75" customHeight="1" x14ac:dyDescent="0.2">
      <c r="A99" s="7">
        <v>46033</v>
      </c>
      <c r="B99" s="1">
        <v>1</v>
      </c>
      <c r="C99" s="1" t="s">
        <v>35</v>
      </c>
      <c r="D99" s="1" t="str">
        <f t="shared" si="2"/>
        <v>패</v>
      </c>
      <c r="E99" s="1" t="s">
        <v>33</v>
      </c>
      <c r="F99" s="1" t="s">
        <v>22</v>
      </c>
      <c r="G99" s="1" t="s">
        <v>91</v>
      </c>
      <c r="H99" s="1">
        <v>2</v>
      </c>
      <c r="I99" s="1">
        <v>4</v>
      </c>
      <c r="J99" s="1">
        <v>7</v>
      </c>
      <c r="K99" s="6"/>
      <c r="L99" s="2">
        <v>7080</v>
      </c>
    </row>
    <row r="100" spans="1:12" ht="15.75" customHeight="1" x14ac:dyDescent="0.2">
      <c r="A100" s="7">
        <v>46033</v>
      </c>
      <c r="B100" s="1">
        <v>1</v>
      </c>
      <c r="C100" s="1" t="s">
        <v>37</v>
      </c>
      <c r="D100" s="1" t="str">
        <f t="shared" si="2"/>
        <v>패</v>
      </c>
      <c r="E100" s="1" t="s">
        <v>33</v>
      </c>
      <c r="F100" s="1" t="s">
        <v>18</v>
      </c>
      <c r="G100" s="1" t="s">
        <v>24</v>
      </c>
      <c r="H100" s="1">
        <v>3</v>
      </c>
      <c r="I100" s="1">
        <v>5</v>
      </c>
      <c r="J100" s="1">
        <v>1</v>
      </c>
      <c r="K100" s="6"/>
      <c r="L100" s="2">
        <v>6953</v>
      </c>
    </row>
    <row r="101" spans="1:12" ht="15.75" customHeight="1" x14ac:dyDescent="0.2">
      <c r="A101" s="7">
        <v>46033</v>
      </c>
      <c r="B101" s="1">
        <v>1</v>
      </c>
      <c r="C101" s="1" t="s">
        <v>27</v>
      </c>
      <c r="D101" s="1" t="str">
        <f t="shared" si="2"/>
        <v>패</v>
      </c>
      <c r="E101" s="1" t="s">
        <v>33</v>
      </c>
      <c r="F101" s="1" t="s">
        <v>28</v>
      </c>
      <c r="G101" s="1" t="s">
        <v>92</v>
      </c>
      <c r="H101" s="1">
        <v>3</v>
      </c>
      <c r="I101" s="1">
        <v>7</v>
      </c>
      <c r="J101" s="1">
        <v>3</v>
      </c>
      <c r="K101" s="6"/>
      <c r="L101" s="2">
        <v>8795</v>
      </c>
    </row>
    <row r="102" spans="1:12" ht="15.75" customHeight="1" x14ac:dyDescent="0.2">
      <c r="A102" s="7">
        <v>46033</v>
      </c>
      <c r="B102" s="1">
        <v>1</v>
      </c>
      <c r="C102" s="1" t="s">
        <v>40</v>
      </c>
      <c r="D102" s="1" t="str">
        <f t="shared" si="2"/>
        <v>패</v>
      </c>
      <c r="E102" s="1" t="s">
        <v>33</v>
      </c>
      <c r="F102" s="1" t="s">
        <v>30</v>
      </c>
      <c r="G102" s="1" t="s">
        <v>60</v>
      </c>
      <c r="H102" s="1">
        <v>3</v>
      </c>
      <c r="I102" s="1">
        <v>4</v>
      </c>
      <c r="J102" s="1">
        <v>5</v>
      </c>
      <c r="K102" s="6"/>
      <c r="L102" s="2">
        <v>6293</v>
      </c>
    </row>
    <row r="103" spans="1:12" ht="15.75" customHeight="1" x14ac:dyDescent="0.2">
      <c r="A103" s="7">
        <v>46033</v>
      </c>
      <c r="B103" s="1">
        <v>2</v>
      </c>
      <c r="C103" s="1" t="s">
        <v>42</v>
      </c>
      <c r="D103" s="1" t="str">
        <f t="shared" si="2"/>
        <v/>
      </c>
      <c r="E103" s="1" t="s">
        <v>33</v>
      </c>
      <c r="F103" s="1" t="s">
        <v>16</v>
      </c>
      <c r="G103" s="1" t="s">
        <v>78</v>
      </c>
      <c r="H103" s="1">
        <v>7</v>
      </c>
      <c r="I103" s="1">
        <v>10</v>
      </c>
      <c r="J103" s="1">
        <v>4</v>
      </c>
      <c r="K103" s="6"/>
      <c r="L103" s="2">
        <v>16277</v>
      </c>
    </row>
    <row r="104" spans="1:12" ht="15.75" customHeight="1" x14ac:dyDescent="0.2">
      <c r="A104" s="7">
        <v>46033</v>
      </c>
      <c r="B104" s="1">
        <v>2</v>
      </c>
      <c r="C104" s="1" t="s">
        <v>21</v>
      </c>
      <c r="D104" s="1" t="str">
        <f t="shared" si="2"/>
        <v/>
      </c>
      <c r="E104" s="1" t="s">
        <v>33</v>
      </c>
      <c r="F104" s="1" t="s">
        <v>22</v>
      </c>
      <c r="G104" s="1" t="s">
        <v>87</v>
      </c>
      <c r="H104" s="1">
        <v>4</v>
      </c>
      <c r="I104" s="1">
        <v>7</v>
      </c>
      <c r="J104" s="1">
        <v>7</v>
      </c>
      <c r="K104" s="6"/>
      <c r="L104" s="2">
        <v>13127</v>
      </c>
    </row>
    <row r="105" spans="1:12" ht="15.75" customHeight="1" x14ac:dyDescent="0.2">
      <c r="A105" s="7">
        <v>46033</v>
      </c>
      <c r="B105" s="1">
        <v>2</v>
      </c>
      <c r="C105" s="1" t="s">
        <v>14</v>
      </c>
      <c r="D105" s="1" t="str">
        <f t="shared" si="2"/>
        <v/>
      </c>
      <c r="E105" s="1" t="s">
        <v>33</v>
      </c>
      <c r="F105" s="1" t="s">
        <v>18</v>
      </c>
      <c r="G105" s="1" t="s">
        <v>82</v>
      </c>
      <c r="H105" s="1">
        <v>7</v>
      </c>
      <c r="I105" s="1">
        <v>6</v>
      </c>
      <c r="J105" s="1">
        <v>12</v>
      </c>
      <c r="K105" s="6"/>
      <c r="L105" s="2">
        <v>15065</v>
      </c>
    </row>
    <row r="106" spans="1:12" ht="15.75" customHeight="1" x14ac:dyDescent="0.2">
      <c r="A106" s="7">
        <v>46033</v>
      </c>
      <c r="B106" s="1">
        <v>2</v>
      </c>
      <c r="C106" s="1" t="s">
        <v>38</v>
      </c>
      <c r="D106" s="1" t="str">
        <f t="shared" si="2"/>
        <v/>
      </c>
      <c r="E106" s="1" t="s">
        <v>33</v>
      </c>
      <c r="F106" s="1" t="s">
        <v>28</v>
      </c>
      <c r="G106" s="1" t="s">
        <v>90</v>
      </c>
      <c r="H106" s="1">
        <v>15</v>
      </c>
      <c r="I106" s="1">
        <v>12</v>
      </c>
      <c r="J106" s="1">
        <v>5</v>
      </c>
      <c r="K106" s="6"/>
      <c r="L106" s="2">
        <v>17784</v>
      </c>
    </row>
    <row r="107" spans="1:12" ht="15.75" customHeight="1" x14ac:dyDescent="0.2">
      <c r="A107" s="7">
        <v>46033</v>
      </c>
      <c r="B107" s="1">
        <v>2</v>
      </c>
      <c r="C107" s="1" t="s">
        <v>20</v>
      </c>
      <c r="D107" s="1" t="str">
        <f t="shared" si="2"/>
        <v/>
      </c>
      <c r="E107" s="1" t="s">
        <v>33</v>
      </c>
      <c r="F107" s="1" t="s">
        <v>30</v>
      </c>
      <c r="G107" s="1" t="s">
        <v>81</v>
      </c>
      <c r="H107" s="1">
        <v>3</v>
      </c>
      <c r="I107" s="1">
        <v>10</v>
      </c>
      <c r="J107" s="1">
        <v>19</v>
      </c>
      <c r="K107" s="6"/>
      <c r="L107" s="2">
        <v>10313</v>
      </c>
    </row>
    <row r="108" spans="1:12" ht="15.75" customHeight="1" x14ac:dyDescent="0.2">
      <c r="A108" s="7">
        <v>46033</v>
      </c>
      <c r="B108" s="1">
        <v>2</v>
      </c>
      <c r="C108" s="1" t="s">
        <v>47</v>
      </c>
      <c r="D108" s="1" t="str">
        <f t="shared" si="2"/>
        <v/>
      </c>
      <c r="E108" s="1" t="s">
        <v>15</v>
      </c>
      <c r="F108" s="1" t="s">
        <v>16</v>
      </c>
      <c r="G108" s="1" t="s">
        <v>83</v>
      </c>
      <c r="H108" s="1">
        <v>2</v>
      </c>
      <c r="I108" s="1">
        <v>8</v>
      </c>
      <c r="J108" s="1">
        <v>11</v>
      </c>
      <c r="K108" s="6"/>
      <c r="L108" s="2">
        <v>10840</v>
      </c>
    </row>
    <row r="109" spans="1:12" ht="15.75" customHeight="1" x14ac:dyDescent="0.2">
      <c r="A109" s="7">
        <v>46033</v>
      </c>
      <c r="B109" s="1">
        <v>2</v>
      </c>
      <c r="C109" s="1" t="s">
        <v>35</v>
      </c>
      <c r="D109" s="1" t="str">
        <f t="shared" si="2"/>
        <v/>
      </c>
      <c r="E109" s="1" t="s">
        <v>15</v>
      </c>
      <c r="F109" s="1" t="s">
        <v>22</v>
      </c>
      <c r="G109" s="1" t="s">
        <v>93</v>
      </c>
      <c r="H109" s="1">
        <v>19</v>
      </c>
      <c r="I109" s="1">
        <v>10</v>
      </c>
      <c r="J109" s="1">
        <v>16</v>
      </c>
      <c r="K109" s="6"/>
      <c r="L109" s="2">
        <v>20792</v>
      </c>
    </row>
    <row r="110" spans="1:12" ht="15.75" customHeight="1" x14ac:dyDescent="0.2">
      <c r="A110" s="7">
        <v>46033</v>
      </c>
      <c r="B110" s="1">
        <v>2</v>
      </c>
      <c r="C110" s="1" t="s">
        <v>37</v>
      </c>
      <c r="D110" s="1" t="str">
        <f t="shared" si="2"/>
        <v/>
      </c>
      <c r="E110" s="1" t="s">
        <v>15</v>
      </c>
      <c r="F110" s="1" t="s">
        <v>18</v>
      </c>
      <c r="G110" s="1" t="s">
        <v>24</v>
      </c>
      <c r="H110" s="1">
        <v>11</v>
      </c>
      <c r="I110" s="1">
        <v>4</v>
      </c>
      <c r="J110" s="1">
        <v>17</v>
      </c>
      <c r="K110" s="6"/>
      <c r="L110" s="2">
        <v>18166</v>
      </c>
    </row>
    <row r="111" spans="1:12" ht="15.75" customHeight="1" x14ac:dyDescent="0.2">
      <c r="A111" s="7">
        <v>46033</v>
      </c>
      <c r="B111" s="1">
        <v>2</v>
      </c>
      <c r="C111" s="1" t="s">
        <v>27</v>
      </c>
      <c r="D111" s="1" t="str">
        <f t="shared" si="2"/>
        <v/>
      </c>
      <c r="E111" s="1" t="s">
        <v>15</v>
      </c>
      <c r="F111" s="1" t="s">
        <v>28</v>
      </c>
      <c r="G111" s="1" t="s">
        <v>39</v>
      </c>
      <c r="H111" s="1">
        <v>9</v>
      </c>
      <c r="I111" s="1">
        <v>7</v>
      </c>
      <c r="J111" s="1">
        <v>23</v>
      </c>
      <c r="K111" s="6"/>
      <c r="L111" s="2">
        <v>18989</v>
      </c>
    </row>
    <row r="112" spans="1:12" ht="15.75" customHeight="1" x14ac:dyDescent="0.2">
      <c r="A112" s="7">
        <v>46033</v>
      </c>
      <c r="B112" s="1">
        <v>2</v>
      </c>
      <c r="C112" s="1" t="s">
        <v>40</v>
      </c>
      <c r="D112" s="1" t="str">
        <f t="shared" si="2"/>
        <v/>
      </c>
      <c r="E112" s="1" t="s">
        <v>15</v>
      </c>
      <c r="F112" s="1" t="s">
        <v>30</v>
      </c>
      <c r="G112" s="1" t="s">
        <v>41</v>
      </c>
      <c r="H112" s="1">
        <v>4</v>
      </c>
      <c r="I112" s="1">
        <v>7</v>
      </c>
      <c r="J112" s="1">
        <v>29</v>
      </c>
      <c r="K112" s="6"/>
      <c r="L112" s="2">
        <v>12126</v>
      </c>
    </row>
    <row r="113" spans="1:12" ht="15.75" customHeight="1" x14ac:dyDescent="0.2">
      <c r="A113" s="7">
        <v>46033</v>
      </c>
      <c r="B113" s="1">
        <v>3</v>
      </c>
      <c r="C113" s="1" t="s">
        <v>42</v>
      </c>
      <c r="D113" s="1" t="str">
        <f t="shared" si="2"/>
        <v/>
      </c>
      <c r="E113" s="1" t="s">
        <v>15</v>
      </c>
      <c r="F113" s="1" t="s">
        <v>16</v>
      </c>
      <c r="G113" s="1" t="s">
        <v>89</v>
      </c>
      <c r="H113" s="1">
        <v>6</v>
      </c>
      <c r="I113" s="1">
        <v>9</v>
      </c>
      <c r="J113" s="1">
        <v>6</v>
      </c>
      <c r="K113" s="6"/>
      <c r="L113" s="2">
        <v>13861</v>
      </c>
    </row>
    <row r="114" spans="1:12" ht="15.75" customHeight="1" x14ac:dyDescent="0.2">
      <c r="A114" s="7">
        <v>46033</v>
      </c>
      <c r="B114" s="1">
        <v>3</v>
      </c>
      <c r="C114" s="1" t="s">
        <v>21</v>
      </c>
      <c r="D114" s="1" t="str">
        <f t="shared" si="2"/>
        <v/>
      </c>
      <c r="E114" s="1" t="s">
        <v>15</v>
      </c>
      <c r="F114" s="1" t="s">
        <v>22</v>
      </c>
      <c r="G114" s="1" t="s">
        <v>34</v>
      </c>
      <c r="H114" s="1">
        <v>5</v>
      </c>
      <c r="I114" s="1">
        <v>7</v>
      </c>
      <c r="J114" s="1">
        <v>13</v>
      </c>
      <c r="K114" s="6"/>
      <c r="L114" s="2">
        <v>14014</v>
      </c>
    </row>
    <row r="115" spans="1:12" ht="15.75" customHeight="1" x14ac:dyDescent="0.2">
      <c r="A115" s="7">
        <v>46033</v>
      </c>
      <c r="B115" s="1">
        <v>3</v>
      </c>
      <c r="C115" s="1" t="s">
        <v>14</v>
      </c>
      <c r="D115" s="1" t="str">
        <f t="shared" si="2"/>
        <v/>
      </c>
      <c r="E115" s="1" t="s">
        <v>15</v>
      </c>
      <c r="F115" s="1" t="s">
        <v>18</v>
      </c>
      <c r="G115" s="1" t="s">
        <v>82</v>
      </c>
      <c r="H115" s="1">
        <v>3</v>
      </c>
      <c r="I115" s="1">
        <v>8</v>
      </c>
      <c r="J115" s="1">
        <v>24</v>
      </c>
      <c r="K115" s="6"/>
      <c r="L115" s="2">
        <v>14072</v>
      </c>
    </row>
    <row r="116" spans="1:12" ht="15.75" customHeight="1" x14ac:dyDescent="0.2">
      <c r="A116" s="7">
        <v>46033</v>
      </c>
      <c r="B116" s="1">
        <v>3</v>
      </c>
      <c r="C116" s="1" t="s">
        <v>38</v>
      </c>
      <c r="D116" s="1" t="str">
        <f t="shared" si="2"/>
        <v/>
      </c>
      <c r="E116" s="1" t="s">
        <v>15</v>
      </c>
      <c r="F116" s="1" t="s">
        <v>28</v>
      </c>
      <c r="G116" s="1" t="s">
        <v>69</v>
      </c>
      <c r="H116" s="1">
        <v>17</v>
      </c>
      <c r="I116" s="1">
        <v>7</v>
      </c>
      <c r="J116" s="1">
        <v>11</v>
      </c>
      <c r="K116" s="6"/>
      <c r="L116" s="2">
        <v>20267</v>
      </c>
    </row>
    <row r="117" spans="1:12" ht="15.75" customHeight="1" x14ac:dyDescent="0.2">
      <c r="A117" s="7">
        <v>46033</v>
      </c>
      <c r="B117" s="1">
        <v>3</v>
      </c>
      <c r="C117" s="1" t="s">
        <v>20</v>
      </c>
      <c r="D117" s="1" t="str">
        <f t="shared" si="2"/>
        <v/>
      </c>
      <c r="E117" s="1" t="s">
        <v>15</v>
      </c>
      <c r="F117" s="1" t="s">
        <v>30</v>
      </c>
      <c r="G117" s="1" t="s">
        <v>36</v>
      </c>
      <c r="H117" s="1">
        <v>16</v>
      </c>
      <c r="I117" s="1">
        <v>9</v>
      </c>
      <c r="J117" s="1">
        <v>19</v>
      </c>
      <c r="K117" s="6"/>
      <c r="L117" s="2">
        <v>16052</v>
      </c>
    </row>
    <row r="118" spans="1:12" ht="15.75" customHeight="1" x14ac:dyDescent="0.2">
      <c r="A118" s="7">
        <v>46033</v>
      </c>
      <c r="B118" s="1">
        <v>3</v>
      </c>
      <c r="C118" s="1" t="s">
        <v>27</v>
      </c>
      <c r="D118" s="1" t="str">
        <f t="shared" si="2"/>
        <v/>
      </c>
      <c r="E118" s="1" t="s">
        <v>33</v>
      </c>
      <c r="F118" s="1" t="s">
        <v>16</v>
      </c>
      <c r="G118" s="1" t="s">
        <v>23</v>
      </c>
      <c r="H118" s="1">
        <v>10</v>
      </c>
      <c r="I118" s="1">
        <v>5</v>
      </c>
      <c r="J118" s="1">
        <v>12</v>
      </c>
      <c r="K118" s="6"/>
      <c r="L118" s="2">
        <v>14965</v>
      </c>
    </row>
    <row r="119" spans="1:12" ht="15.75" customHeight="1" x14ac:dyDescent="0.2">
      <c r="A119" s="7">
        <v>46033</v>
      </c>
      <c r="B119" s="1">
        <v>3</v>
      </c>
      <c r="C119" s="1" t="s">
        <v>35</v>
      </c>
      <c r="D119" s="1" t="str">
        <f t="shared" si="2"/>
        <v/>
      </c>
      <c r="E119" s="1" t="s">
        <v>33</v>
      </c>
      <c r="F119" s="1" t="s">
        <v>22</v>
      </c>
      <c r="G119" s="1" t="s">
        <v>94</v>
      </c>
      <c r="H119" s="1">
        <v>17</v>
      </c>
      <c r="I119" s="1">
        <v>9</v>
      </c>
      <c r="J119" s="1">
        <v>11</v>
      </c>
      <c r="K119" s="6"/>
      <c r="L119" s="2">
        <v>19605</v>
      </c>
    </row>
    <row r="120" spans="1:12" ht="15.75" customHeight="1" x14ac:dyDescent="0.2">
      <c r="A120" s="7">
        <v>46033</v>
      </c>
      <c r="B120" s="1">
        <v>3</v>
      </c>
      <c r="C120" s="1" t="s">
        <v>37</v>
      </c>
      <c r="D120" s="1" t="str">
        <f t="shared" si="2"/>
        <v/>
      </c>
      <c r="E120" s="1" t="s">
        <v>33</v>
      </c>
      <c r="F120" s="1" t="s">
        <v>18</v>
      </c>
      <c r="G120" s="1" t="s">
        <v>24</v>
      </c>
      <c r="H120" s="1">
        <v>7</v>
      </c>
      <c r="I120" s="1">
        <v>10</v>
      </c>
      <c r="J120" s="1">
        <v>16</v>
      </c>
      <c r="K120" s="6"/>
      <c r="L120" s="2">
        <v>1549</v>
      </c>
    </row>
    <row r="121" spans="1:12" ht="15.75" customHeight="1" x14ac:dyDescent="0.2">
      <c r="A121" s="7">
        <v>46033</v>
      </c>
      <c r="B121" s="1">
        <v>3</v>
      </c>
      <c r="C121" s="1" t="s">
        <v>47</v>
      </c>
      <c r="D121" s="1" t="str">
        <f t="shared" si="2"/>
        <v/>
      </c>
      <c r="E121" s="1" t="s">
        <v>33</v>
      </c>
      <c r="F121" s="1" t="s">
        <v>28</v>
      </c>
      <c r="G121" s="1" t="s">
        <v>95</v>
      </c>
      <c r="H121" s="1">
        <v>4</v>
      </c>
      <c r="I121" s="1">
        <v>12</v>
      </c>
      <c r="J121" s="1">
        <v>14</v>
      </c>
      <c r="K121" s="6"/>
      <c r="L121" s="2">
        <v>12828</v>
      </c>
    </row>
    <row r="122" spans="1:12" ht="15.75" customHeight="1" x14ac:dyDescent="0.2">
      <c r="A122" s="7">
        <v>46033</v>
      </c>
      <c r="B122" s="1">
        <v>3</v>
      </c>
      <c r="C122" s="1" t="s">
        <v>40</v>
      </c>
      <c r="D122" s="1" t="str">
        <f t="shared" si="2"/>
        <v/>
      </c>
      <c r="E122" s="1" t="s">
        <v>33</v>
      </c>
      <c r="F122" s="1" t="s">
        <v>30</v>
      </c>
      <c r="G122" s="1" t="s">
        <v>41</v>
      </c>
      <c r="H122" s="1">
        <v>2</v>
      </c>
      <c r="I122" s="1">
        <v>11</v>
      </c>
      <c r="J122" s="1">
        <v>24</v>
      </c>
      <c r="K122" s="6"/>
      <c r="L122" s="2">
        <v>11536</v>
      </c>
    </row>
    <row r="123" spans="1:12" ht="15.75" customHeight="1" x14ac:dyDescent="0.2">
      <c r="A123" s="7">
        <v>46054</v>
      </c>
      <c r="B123" s="1">
        <v>1</v>
      </c>
      <c r="C123" s="1" t="s">
        <v>25</v>
      </c>
      <c r="D123" s="1" t="str">
        <f t="shared" si="2"/>
        <v>승</v>
      </c>
      <c r="E123" s="1" t="s">
        <v>33</v>
      </c>
      <c r="F123" s="1" t="s">
        <v>16</v>
      </c>
      <c r="G123" s="1" t="s">
        <v>34</v>
      </c>
      <c r="H123" s="1">
        <v>1</v>
      </c>
      <c r="I123" s="1">
        <v>5</v>
      </c>
      <c r="J123" s="1">
        <v>0</v>
      </c>
      <c r="K123" s="6"/>
      <c r="L123" s="6"/>
    </row>
    <row r="124" spans="1:12" ht="15.75" customHeight="1" x14ac:dyDescent="0.2">
      <c r="A124" s="7">
        <v>46054</v>
      </c>
      <c r="B124" s="1">
        <v>1</v>
      </c>
      <c r="C124" s="1" t="s">
        <v>21</v>
      </c>
      <c r="D124" s="1" t="str">
        <f t="shared" si="2"/>
        <v>승</v>
      </c>
      <c r="E124" s="1" t="s">
        <v>33</v>
      </c>
      <c r="F124" s="1" t="s">
        <v>22</v>
      </c>
      <c r="G124" s="1" t="s">
        <v>67</v>
      </c>
      <c r="H124" s="1">
        <v>4</v>
      </c>
      <c r="I124" s="1">
        <v>7</v>
      </c>
      <c r="J124" s="1">
        <v>5</v>
      </c>
      <c r="K124" s="6"/>
      <c r="L124" s="6"/>
    </row>
    <row r="125" spans="1:12" ht="15.75" customHeight="1" x14ac:dyDescent="0.2">
      <c r="A125" s="7">
        <v>46054</v>
      </c>
      <c r="B125" s="1">
        <v>1</v>
      </c>
      <c r="C125" s="1" t="s">
        <v>27</v>
      </c>
      <c r="D125" s="1" t="str">
        <f t="shared" si="2"/>
        <v>패</v>
      </c>
      <c r="E125" s="1" t="s">
        <v>33</v>
      </c>
      <c r="F125" s="1" t="s">
        <v>18</v>
      </c>
      <c r="G125" s="1" t="s">
        <v>24</v>
      </c>
      <c r="H125" s="1">
        <v>3</v>
      </c>
      <c r="I125" s="1">
        <v>6</v>
      </c>
      <c r="J125" s="1">
        <v>4</v>
      </c>
      <c r="K125" s="6"/>
      <c r="L125" s="6"/>
    </row>
    <row r="126" spans="1:12" ht="15.75" customHeight="1" x14ac:dyDescent="0.2">
      <c r="A126" s="7">
        <v>46054</v>
      </c>
      <c r="B126" s="1">
        <v>1</v>
      </c>
      <c r="C126" s="1" t="s">
        <v>37</v>
      </c>
      <c r="D126" s="1" t="str">
        <f t="shared" si="2"/>
        <v>승</v>
      </c>
      <c r="E126" s="1" t="s">
        <v>33</v>
      </c>
      <c r="F126" s="1" t="s">
        <v>28</v>
      </c>
      <c r="G126" s="1" t="s">
        <v>92</v>
      </c>
      <c r="H126" s="1">
        <v>7</v>
      </c>
      <c r="I126" s="1">
        <v>11</v>
      </c>
      <c r="J126" s="1">
        <v>3</v>
      </c>
      <c r="K126" s="6"/>
      <c r="L126" s="6"/>
    </row>
    <row r="127" spans="1:12" ht="15.75" customHeight="1" x14ac:dyDescent="0.2">
      <c r="A127" s="7">
        <v>46054</v>
      </c>
      <c r="B127" s="1">
        <v>1</v>
      </c>
      <c r="C127" s="1" t="s">
        <v>40</v>
      </c>
      <c r="D127" s="1" t="str">
        <f t="shared" si="2"/>
        <v>승</v>
      </c>
      <c r="E127" s="1" t="s">
        <v>33</v>
      </c>
      <c r="F127" s="1" t="s">
        <v>30</v>
      </c>
      <c r="G127" s="1" t="s">
        <v>60</v>
      </c>
      <c r="H127" s="1">
        <v>2</v>
      </c>
      <c r="I127" s="1">
        <v>6</v>
      </c>
      <c r="J127" s="1">
        <v>12</v>
      </c>
      <c r="K127" s="6"/>
      <c r="L127" s="6"/>
    </row>
    <row r="128" spans="1:12" ht="15.75" customHeight="1" x14ac:dyDescent="0.2">
      <c r="A128" s="7">
        <v>46054</v>
      </c>
      <c r="B128" s="1">
        <v>1</v>
      </c>
      <c r="C128" s="1" t="s">
        <v>49</v>
      </c>
      <c r="D128" s="1" t="str">
        <f t="shared" si="2"/>
        <v>패</v>
      </c>
      <c r="E128" s="1" t="s">
        <v>15</v>
      </c>
      <c r="F128" s="1" t="s">
        <v>16</v>
      </c>
      <c r="G128" s="1" t="s">
        <v>23</v>
      </c>
      <c r="H128" s="1">
        <v>1</v>
      </c>
      <c r="I128" s="1">
        <v>1</v>
      </c>
      <c r="J128" s="1">
        <v>14</v>
      </c>
      <c r="K128" s="6"/>
      <c r="L128" s="6"/>
    </row>
    <row r="129" spans="1:12" ht="15.75" customHeight="1" x14ac:dyDescent="0.2">
      <c r="A129" s="7">
        <v>46054</v>
      </c>
      <c r="B129" s="1">
        <v>1</v>
      </c>
      <c r="C129" s="1" t="s">
        <v>42</v>
      </c>
      <c r="D129" s="1" t="str">
        <f t="shared" si="2"/>
        <v>패</v>
      </c>
      <c r="E129" s="1" t="s">
        <v>15</v>
      </c>
      <c r="F129" s="1" t="s">
        <v>22</v>
      </c>
      <c r="G129" s="1" t="s">
        <v>83</v>
      </c>
      <c r="H129" s="1">
        <v>12</v>
      </c>
      <c r="I129" s="1">
        <v>3</v>
      </c>
      <c r="J129" s="1">
        <v>10</v>
      </c>
      <c r="K129" s="6"/>
      <c r="L129" s="6"/>
    </row>
    <row r="130" spans="1:12" ht="15.75" customHeight="1" x14ac:dyDescent="0.2">
      <c r="A130" s="7">
        <v>46054</v>
      </c>
      <c r="B130" s="1">
        <v>1</v>
      </c>
      <c r="C130" s="1" t="s">
        <v>14</v>
      </c>
      <c r="D130" s="1" t="str">
        <f t="shared" si="2"/>
        <v>승</v>
      </c>
      <c r="E130" s="1" t="s">
        <v>15</v>
      </c>
      <c r="F130" s="1" t="s">
        <v>18</v>
      </c>
      <c r="G130" s="1" t="s">
        <v>82</v>
      </c>
      <c r="H130" s="1">
        <v>7</v>
      </c>
      <c r="I130" s="1">
        <v>2</v>
      </c>
      <c r="J130" s="1">
        <v>14</v>
      </c>
      <c r="K130" s="6"/>
      <c r="L130" s="6"/>
    </row>
    <row r="131" spans="1:12" ht="15.75" customHeight="1" x14ac:dyDescent="0.2">
      <c r="A131" s="7">
        <v>46054</v>
      </c>
      <c r="B131" s="1">
        <v>1</v>
      </c>
      <c r="C131" s="1" t="s">
        <v>38</v>
      </c>
      <c r="D131" s="1" t="str">
        <f t="shared" si="2"/>
        <v>패</v>
      </c>
      <c r="E131" s="1" t="s">
        <v>15</v>
      </c>
      <c r="F131" s="1" t="s">
        <v>28</v>
      </c>
      <c r="G131" s="1" t="s">
        <v>80</v>
      </c>
      <c r="H131" s="1">
        <v>11</v>
      </c>
      <c r="I131" s="1">
        <v>4</v>
      </c>
      <c r="J131" s="1">
        <v>11</v>
      </c>
      <c r="K131" s="6"/>
      <c r="L131" s="6"/>
    </row>
    <row r="132" spans="1:12" ht="15.75" customHeight="1" x14ac:dyDescent="0.2">
      <c r="A132" s="7">
        <v>46054</v>
      </c>
      <c r="B132" s="1">
        <v>1</v>
      </c>
      <c r="C132" s="1" t="s">
        <v>35</v>
      </c>
      <c r="D132" s="1" t="str">
        <f t="shared" si="2"/>
        <v>패</v>
      </c>
      <c r="E132" s="1" t="s">
        <v>15</v>
      </c>
      <c r="F132" s="1" t="s">
        <v>30</v>
      </c>
      <c r="G132" s="1" t="s">
        <v>96</v>
      </c>
      <c r="H132" s="1">
        <v>3</v>
      </c>
      <c r="I132" s="1">
        <v>7</v>
      </c>
      <c r="J132" s="1">
        <v>23</v>
      </c>
      <c r="K132" s="6"/>
      <c r="L132" s="6"/>
    </row>
    <row r="133" spans="1:12" ht="15.75" customHeight="1" x14ac:dyDescent="0.2">
      <c r="A133" s="7">
        <v>46054</v>
      </c>
      <c r="B133" s="1">
        <v>2</v>
      </c>
      <c r="C133" s="1" t="s">
        <v>25</v>
      </c>
      <c r="D133" s="1" t="str">
        <f t="shared" si="2"/>
        <v/>
      </c>
      <c r="E133" s="1" t="s">
        <v>15</v>
      </c>
      <c r="F133" s="1" t="s">
        <v>16</v>
      </c>
      <c r="G133" s="1" t="s">
        <v>23</v>
      </c>
      <c r="H133" s="1">
        <v>5</v>
      </c>
      <c r="I133" s="1">
        <v>2</v>
      </c>
      <c r="J133" s="1">
        <v>4</v>
      </c>
      <c r="K133" s="2">
        <v>23922</v>
      </c>
      <c r="L133" s="2">
        <v>11201</v>
      </c>
    </row>
    <row r="134" spans="1:12" ht="15.75" customHeight="1" x14ac:dyDescent="0.2">
      <c r="A134" s="7">
        <v>46054</v>
      </c>
      <c r="B134" s="1">
        <v>2</v>
      </c>
      <c r="C134" s="1" t="s">
        <v>21</v>
      </c>
      <c r="D134" s="1" t="str">
        <f t="shared" si="2"/>
        <v/>
      </c>
      <c r="E134" s="1" t="s">
        <v>15</v>
      </c>
      <c r="F134" s="1" t="s">
        <v>22</v>
      </c>
      <c r="G134" s="1" t="s">
        <v>97</v>
      </c>
      <c r="H134" s="1">
        <v>5</v>
      </c>
      <c r="I134" s="1">
        <v>4</v>
      </c>
      <c r="J134" s="1">
        <v>13</v>
      </c>
      <c r="K134" s="2">
        <v>23038</v>
      </c>
      <c r="L134" s="2">
        <v>13715</v>
      </c>
    </row>
    <row r="135" spans="1:12" ht="15.75" customHeight="1" x14ac:dyDescent="0.2">
      <c r="A135" s="7">
        <v>46054</v>
      </c>
      <c r="B135" s="1">
        <v>2</v>
      </c>
      <c r="C135" s="1" t="s">
        <v>14</v>
      </c>
      <c r="D135" s="1" t="str">
        <f t="shared" si="2"/>
        <v/>
      </c>
      <c r="E135" s="1" t="s">
        <v>15</v>
      </c>
      <c r="F135" s="1" t="s">
        <v>18</v>
      </c>
      <c r="G135" s="1" t="s">
        <v>62</v>
      </c>
      <c r="H135" s="1">
        <v>2</v>
      </c>
      <c r="I135" s="1">
        <v>3</v>
      </c>
      <c r="J135" s="1">
        <v>9</v>
      </c>
      <c r="K135" s="2">
        <v>21614</v>
      </c>
      <c r="L135" s="2">
        <v>12162</v>
      </c>
    </row>
    <row r="136" spans="1:12" ht="15.75" customHeight="1" x14ac:dyDescent="0.2">
      <c r="A136" s="7">
        <v>46054</v>
      </c>
      <c r="B136" s="1">
        <v>2</v>
      </c>
      <c r="C136" s="1" t="s">
        <v>37</v>
      </c>
      <c r="D136" s="1" t="str">
        <f t="shared" si="2"/>
        <v/>
      </c>
      <c r="E136" s="1" t="s">
        <v>15</v>
      </c>
      <c r="F136" s="1" t="s">
        <v>28</v>
      </c>
      <c r="G136" s="1" t="s">
        <v>46</v>
      </c>
      <c r="H136" s="1">
        <v>12</v>
      </c>
      <c r="I136" s="1">
        <v>4</v>
      </c>
      <c r="J136" s="1">
        <v>5</v>
      </c>
      <c r="K136" s="2">
        <v>36464</v>
      </c>
      <c r="L136" s="2">
        <v>15889</v>
      </c>
    </row>
    <row r="137" spans="1:12" ht="15.75" customHeight="1" x14ac:dyDescent="0.2">
      <c r="A137" s="7">
        <v>46054</v>
      </c>
      <c r="B137" s="1">
        <v>2</v>
      </c>
      <c r="C137" s="1" t="s">
        <v>40</v>
      </c>
      <c r="D137" s="1" t="str">
        <f t="shared" si="2"/>
        <v/>
      </c>
      <c r="E137" s="1" t="s">
        <v>15</v>
      </c>
      <c r="F137" s="1" t="s">
        <v>30</v>
      </c>
      <c r="G137" s="1" t="s">
        <v>57</v>
      </c>
      <c r="H137" s="1">
        <v>5</v>
      </c>
      <c r="I137" s="1">
        <v>4</v>
      </c>
      <c r="J137" s="1">
        <v>11</v>
      </c>
      <c r="K137" s="2">
        <v>13581</v>
      </c>
      <c r="L137" s="2">
        <v>99336</v>
      </c>
    </row>
    <row r="138" spans="1:12" ht="15.75" customHeight="1" x14ac:dyDescent="0.2">
      <c r="A138" s="7">
        <v>46054</v>
      </c>
      <c r="B138" s="1">
        <v>2</v>
      </c>
      <c r="C138" s="1" t="s">
        <v>49</v>
      </c>
      <c r="D138" s="1" t="str">
        <f t="shared" si="2"/>
        <v/>
      </c>
      <c r="E138" s="1" t="s">
        <v>33</v>
      </c>
      <c r="F138" s="1" t="s">
        <v>16</v>
      </c>
      <c r="G138" s="1" t="s">
        <v>34</v>
      </c>
      <c r="H138" s="1">
        <v>2</v>
      </c>
      <c r="I138" s="1">
        <v>7</v>
      </c>
      <c r="J138" s="1">
        <v>3</v>
      </c>
      <c r="K138" s="2">
        <v>23220</v>
      </c>
      <c r="L138" s="2">
        <v>10916</v>
      </c>
    </row>
    <row r="139" spans="1:12" ht="15.75" customHeight="1" x14ac:dyDescent="0.2">
      <c r="A139" s="7">
        <v>46054</v>
      </c>
      <c r="B139" s="1">
        <v>2</v>
      </c>
      <c r="C139" s="1" t="s">
        <v>42</v>
      </c>
      <c r="D139" s="1" t="str">
        <f t="shared" si="2"/>
        <v/>
      </c>
      <c r="E139" s="1" t="s">
        <v>33</v>
      </c>
      <c r="F139" s="1" t="s">
        <v>22</v>
      </c>
      <c r="G139" s="1" t="s">
        <v>60</v>
      </c>
      <c r="H139" s="1">
        <v>2</v>
      </c>
      <c r="I139" s="1">
        <v>6</v>
      </c>
      <c r="J139" s="1">
        <v>9</v>
      </c>
      <c r="K139" s="2">
        <v>14401</v>
      </c>
      <c r="L139" s="2">
        <v>11737</v>
      </c>
    </row>
    <row r="140" spans="1:12" ht="15.75" customHeight="1" x14ac:dyDescent="0.2">
      <c r="A140" s="7">
        <v>46054</v>
      </c>
      <c r="B140" s="1">
        <v>2</v>
      </c>
      <c r="C140" s="1" t="s">
        <v>27</v>
      </c>
      <c r="D140" s="1" t="str">
        <f t="shared" si="2"/>
        <v/>
      </c>
      <c r="E140" s="1" t="s">
        <v>33</v>
      </c>
      <c r="F140" s="1" t="s">
        <v>18</v>
      </c>
      <c r="G140" s="1" t="s">
        <v>24</v>
      </c>
      <c r="H140" s="1">
        <v>3</v>
      </c>
      <c r="I140" s="1">
        <v>4</v>
      </c>
      <c r="J140" s="1">
        <v>9</v>
      </c>
      <c r="K140" s="2">
        <v>28055</v>
      </c>
      <c r="L140" s="2">
        <v>11999</v>
      </c>
    </row>
    <row r="141" spans="1:12" ht="15.75" customHeight="1" x14ac:dyDescent="0.2">
      <c r="A141" s="7">
        <v>46054</v>
      </c>
      <c r="B141" s="1">
        <v>2</v>
      </c>
      <c r="C141" s="1" t="s">
        <v>38</v>
      </c>
      <c r="D141" s="1" t="str">
        <f t="shared" si="2"/>
        <v/>
      </c>
      <c r="E141" s="1" t="s">
        <v>33</v>
      </c>
      <c r="F141" s="1" t="s">
        <v>28</v>
      </c>
      <c r="G141" s="1" t="s">
        <v>92</v>
      </c>
      <c r="H141" s="1">
        <v>5</v>
      </c>
      <c r="I141" s="1">
        <v>8</v>
      </c>
      <c r="J141" s="1">
        <v>4</v>
      </c>
      <c r="K141" s="2">
        <v>13903</v>
      </c>
      <c r="L141" s="2">
        <v>13577</v>
      </c>
    </row>
    <row r="142" spans="1:12" ht="15.75" customHeight="1" x14ac:dyDescent="0.2">
      <c r="A142" s="7">
        <v>46054</v>
      </c>
      <c r="B142" s="1">
        <v>2</v>
      </c>
      <c r="C142" s="1" t="s">
        <v>35</v>
      </c>
      <c r="D142" s="1" t="str">
        <f t="shared" si="2"/>
        <v/>
      </c>
      <c r="E142" s="1" t="s">
        <v>33</v>
      </c>
      <c r="F142" s="1" t="s">
        <v>30</v>
      </c>
      <c r="G142" s="1" t="s">
        <v>98</v>
      </c>
      <c r="H142" s="1">
        <v>5</v>
      </c>
      <c r="I142" s="1">
        <v>4</v>
      </c>
      <c r="J142" s="1">
        <v>10</v>
      </c>
      <c r="K142" s="2">
        <v>16267</v>
      </c>
      <c r="L142" s="2">
        <v>10173</v>
      </c>
    </row>
    <row r="143" spans="1:12" ht="15.75" customHeight="1" x14ac:dyDescent="0.2">
      <c r="A143" s="7">
        <v>46054</v>
      </c>
      <c r="B143" s="1">
        <v>3</v>
      </c>
      <c r="C143" s="1" t="s">
        <v>25</v>
      </c>
      <c r="D143" s="1" t="str">
        <f t="shared" si="2"/>
        <v/>
      </c>
      <c r="E143" s="1" t="s">
        <v>15</v>
      </c>
      <c r="F143" s="1" t="s">
        <v>16</v>
      </c>
      <c r="G143" s="1" t="s">
        <v>99</v>
      </c>
      <c r="H143" s="1">
        <v>5</v>
      </c>
      <c r="I143" s="1">
        <v>2</v>
      </c>
      <c r="J143" s="1">
        <v>1</v>
      </c>
      <c r="K143" s="2">
        <v>12054</v>
      </c>
      <c r="L143" s="2">
        <v>6384</v>
      </c>
    </row>
    <row r="144" spans="1:12" ht="15.75" customHeight="1" x14ac:dyDescent="0.2">
      <c r="A144" s="7">
        <v>46054</v>
      </c>
      <c r="B144" s="1">
        <v>3</v>
      </c>
      <c r="C144" s="1" t="s">
        <v>21</v>
      </c>
      <c r="D144" s="1" t="str">
        <f t="shared" si="2"/>
        <v/>
      </c>
      <c r="E144" s="1" t="s">
        <v>15</v>
      </c>
      <c r="F144" s="1" t="s">
        <v>22</v>
      </c>
      <c r="G144" s="1" t="s">
        <v>34</v>
      </c>
      <c r="H144" s="1">
        <v>2</v>
      </c>
      <c r="I144" s="1">
        <v>0</v>
      </c>
      <c r="J144" s="1">
        <v>6</v>
      </c>
      <c r="K144" s="2">
        <v>4176</v>
      </c>
      <c r="L144" s="2">
        <v>6383</v>
      </c>
    </row>
    <row r="145" spans="1:12" ht="15.75" customHeight="1" x14ac:dyDescent="0.2">
      <c r="A145" s="7">
        <v>46054</v>
      </c>
      <c r="B145" s="1">
        <v>3</v>
      </c>
      <c r="C145" s="1" t="s">
        <v>14</v>
      </c>
      <c r="D145" s="1" t="str">
        <f t="shared" si="2"/>
        <v/>
      </c>
      <c r="E145" s="1" t="s">
        <v>15</v>
      </c>
      <c r="F145" s="1" t="s">
        <v>18</v>
      </c>
      <c r="G145" s="1" t="s">
        <v>82</v>
      </c>
      <c r="H145" s="1">
        <v>4</v>
      </c>
      <c r="I145" s="1">
        <v>1</v>
      </c>
      <c r="J145" s="1">
        <v>3</v>
      </c>
      <c r="K145" s="2">
        <v>8740</v>
      </c>
      <c r="L145" s="2">
        <v>6878</v>
      </c>
    </row>
    <row r="146" spans="1:12" ht="15.75" customHeight="1" x14ac:dyDescent="0.2">
      <c r="A146" s="7">
        <v>46054</v>
      </c>
      <c r="B146" s="1">
        <v>3</v>
      </c>
      <c r="C146" s="1" t="s">
        <v>37</v>
      </c>
      <c r="D146" s="1" t="str">
        <f t="shared" si="2"/>
        <v/>
      </c>
      <c r="E146" s="1" t="s">
        <v>15</v>
      </c>
      <c r="F146" s="1" t="s">
        <v>28</v>
      </c>
      <c r="G146" s="1" t="s">
        <v>92</v>
      </c>
      <c r="H146" s="1">
        <v>7</v>
      </c>
      <c r="I146" s="1">
        <v>2</v>
      </c>
      <c r="J146" s="1">
        <v>7</v>
      </c>
      <c r="K146" s="2">
        <v>10759</v>
      </c>
      <c r="L146" s="2">
        <v>7826</v>
      </c>
    </row>
    <row r="147" spans="1:12" ht="15.75" customHeight="1" x14ac:dyDescent="0.2">
      <c r="A147" s="7">
        <v>46054</v>
      </c>
      <c r="B147" s="1">
        <v>3</v>
      </c>
      <c r="C147" s="1" t="s">
        <v>40</v>
      </c>
      <c r="D147" s="1" t="str">
        <f t="shared" si="2"/>
        <v/>
      </c>
      <c r="E147" s="1" t="s">
        <v>15</v>
      </c>
      <c r="F147" s="1" t="s">
        <v>30</v>
      </c>
      <c r="G147" s="1" t="s">
        <v>60</v>
      </c>
      <c r="H147" s="1">
        <v>9</v>
      </c>
      <c r="I147" s="1">
        <v>1</v>
      </c>
      <c r="J147" s="1">
        <v>9</v>
      </c>
      <c r="K147" s="2">
        <v>10805</v>
      </c>
      <c r="L147" s="2">
        <v>7400</v>
      </c>
    </row>
    <row r="148" spans="1:12" ht="15.75" customHeight="1" x14ac:dyDescent="0.2">
      <c r="A148" s="7">
        <v>46054</v>
      </c>
      <c r="B148" s="1">
        <v>3</v>
      </c>
      <c r="C148" s="1" t="s">
        <v>49</v>
      </c>
      <c r="D148" s="1" t="str">
        <f t="shared" si="2"/>
        <v/>
      </c>
      <c r="E148" s="1" t="s">
        <v>33</v>
      </c>
      <c r="F148" s="1" t="s">
        <v>16</v>
      </c>
      <c r="G148" s="1" t="s">
        <v>71</v>
      </c>
      <c r="H148" s="1">
        <v>2</v>
      </c>
      <c r="I148" s="1">
        <v>2</v>
      </c>
      <c r="J148" s="1">
        <v>0</v>
      </c>
      <c r="K148" s="2">
        <v>4341</v>
      </c>
      <c r="L148" s="2">
        <v>5506</v>
      </c>
    </row>
    <row r="149" spans="1:12" ht="15.75" customHeight="1" x14ac:dyDescent="0.2">
      <c r="A149" s="7">
        <v>46054</v>
      </c>
      <c r="B149" s="1">
        <v>3</v>
      </c>
      <c r="C149" s="1" t="s">
        <v>42</v>
      </c>
      <c r="D149" s="1" t="str">
        <f t="shared" si="2"/>
        <v/>
      </c>
      <c r="E149" s="1" t="s">
        <v>33</v>
      </c>
      <c r="F149" s="1" t="s">
        <v>22</v>
      </c>
      <c r="G149" s="1" t="s">
        <v>83</v>
      </c>
      <c r="H149" s="1">
        <v>0</v>
      </c>
      <c r="I149" s="1">
        <v>4</v>
      </c>
      <c r="J149" s="1">
        <v>2</v>
      </c>
      <c r="K149" s="2">
        <v>4684</v>
      </c>
      <c r="L149" s="2">
        <v>4943</v>
      </c>
    </row>
    <row r="150" spans="1:12" ht="15.75" customHeight="1" x14ac:dyDescent="0.2">
      <c r="A150" s="7">
        <v>46054</v>
      </c>
      <c r="B150" s="1">
        <v>3</v>
      </c>
      <c r="C150" s="1" t="s">
        <v>27</v>
      </c>
      <c r="D150" s="1" t="str">
        <f t="shared" si="2"/>
        <v/>
      </c>
      <c r="E150" s="1" t="s">
        <v>33</v>
      </c>
      <c r="F150" s="1" t="s">
        <v>18</v>
      </c>
      <c r="G150" s="1" t="s">
        <v>63</v>
      </c>
      <c r="H150" s="1">
        <v>1</v>
      </c>
      <c r="I150" s="1">
        <v>3</v>
      </c>
      <c r="J150" s="1">
        <v>1</v>
      </c>
      <c r="K150" s="2">
        <v>7667</v>
      </c>
      <c r="L150" s="2">
        <v>5340</v>
      </c>
    </row>
    <row r="151" spans="1:12" ht="15.75" customHeight="1" x14ac:dyDescent="0.2">
      <c r="A151" s="7">
        <v>46054</v>
      </c>
      <c r="B151" s="1">
        <v>3</v>
      </c>
      <c r="C151" s="1" t="s">
        <v>38</v>
      </c>
      <c r="D151" s="1" t="str">
        <f t="shared" si="2"/>
        <v/>
      </c>
      <c r="E151" s="1" t="s">
        <v>33</v>
      </c>
      <c r="F151" s="1" t="s">
        <v>28</v>
      </c>
      <c r="G151" s="1" t="s">
        <v>59</v>
      </c>
      <c r="H151" s="1">
        <v>1</v>
      </c>
      <c r="I151" s="1">
        <v>9</v>
      </c>
      <c r="J151" s="1">
        <v>2</v>
      </c>
      <c r="K151" s="2">
        <v>9872</v>
      </c>
      <c r="L151" s="2">
        <v>5350</v>
      </c>
    </row>
    <row r="152" spans="1:12" ht="15.75" customHeight="1" x14ac:dyDescent="0.2">
      <c r="A152" s="7">
        <v>46054</v>
      </c>
      <c r="B152" s="1">
        <v>3</v>
      </c>
      <c r="C152" s="1" t="s">
        <v>35</v>
      </c>
      <c r="D152" s="1" t="str">
        <f t="shared" si="2"/>
        <v/>
      </c>
      <c r="E152" s="1" t="s">
        <v>33</v>
      </c>
      <c r="F152" s="1" t="s">
        <v>30</v>
      </c>
      <c r="G152" s="1" t="s">
        <v>48</v>
      </c>
      <c r="H152" s="1">
        <v>2</v>
      </c>
      <c r="I152" s="1">
        <v>9</v>
      </c>
      <c r="J152" s="1">
        <v>1</v>
      </c>
      <c r="K152" s="2">
        <v>8850</v>
      </c>
      <c r="L152" s="2">
        <v>5118</v>
      </c>
    </row>
    <row r="153" spans="1:12" ht="15.75" customHeight="1" x14ac:dyDescent="0.2">
      <c r="A153" s="7">
        <v>46096</v>
      </c>
      <c r="B153" s="1">
        <v>1</v>
      </c>
      <c r="C153" s="1" t="s">
        <v>37</v>
      </c>
      <c r="D153" s="1" t="str">
        <f t="shared" si="2"/>
        <v>승</v>
      </c>
      <c r="E153" s="1" t="s">
        <v>15</v>
      </c>
      <c r="F153" s="1" t="s">
        <v>16</v>
      </c>
      <c r="G153" s="1" t="s">
        <v>100</v>
      </c>
      <c r="H153" s="1">
        <v>9</v>
      </c>
      <c r="I153" s="1">
        <v>6</v>
      </c>
      <c r="J153" s="1">
        <v>15</v>
      </c>
      <c r="K153" s="2">
        <v>33358</v>
      </c>
      <c r="L153" s="2">
        <v>16462</v>
      </c>
    </row>
    <row r="154" spans="1:12" ht="15.75" customHeight="1" x14ac:dyDescent="0.2">
      <c r="A154" s="7">
        <v>46096</v>
      </c>
      <c r="B154" s="1">
        <v>1</v>
      </c>
      <c r="C154" s="1" t="s">
        <v>21</v>
      </c>
      <c r="D154" s="1" t="str">
        <f t="shared" si="2"/>
        <v>승</v>
      </c>
      <c r="E154" s="1" t="s">
        <v>15</v>
      </c>
      <c r="F154" s="1" t="s">
        <v>22</v>
      </c>
      <c r="G154" s="1" t="s">
        <v>66</v>
      </c>
      <c r="H154" s="1">
        <v>5</v>
      </c>
      <c r="I154" s="1">
        <v>2</v>
      </c>
      <c r="J154" s="1">
        <v>22</v>
      </c>
      <c r="K154" s="2">
        <v>19621</v>
      </c>
      <c r="L154" s="2">
        <v>14209</v>
      </c>
    </row>
    <row r="155" spans="1:12" ht="15.75" customHeight="1" x14ac:dyDescent="0.2">
      <c r="A155" s="7">
        <v>46096</v>
      </c>
      <c r="B155" s="1">
        <v>1</v>
      </c>
      <c r="C155" s="1" t="s">
        <v>14</v>
      </c>
      <c r="D155" s="1" t="str">
        <f t="shared" si="2"/>
        <v>승</v>
      </c>
      <c r="E155" s="1" t="s">
        <v>15</v>
      </c>
      <c r="F155" s="1" t="s">
        <v>18</v>
      </c>
      <c r="G155" s="1" t="s">
        <v>24</v>
      </c>
      <c r="H155" s="1">
        <v>12</v>
      </c>
      <c r="I155" s="1">
        <v>3</v>
      </c>
      <c r="J155" s="1">
        <v>8</v>
      </c>
      <c r="K155" s="2">
        <v>36202</v>
      </c>
      <c r="L155" s="2">
        <v>17709</v>
      </c>
    </row>
    <row r="156" spans="1:12" ht="15.75" customHeight="1" x14ac:dyDescent="0.2">
      <c r="A156" s="7">
        <v>46096</v>
      </c>
      <c r="B156" s="1">
        <v>1</v>
      </c>
      <c r="C156" s="1" t="s">
        <v>51</v>
      </c>
      <c r="D156" s="1" t="str">
        <f t="shared" si="2"/>
        <v>승</v>
      </c>
      <c r="E156" s="1" t="s">
        <v>15</v>
      </c>
      <c r="F156" s="1" t="s">
        <v>28</v>
      </c>
      <c r="G156" s="1" t="s">
        <v>84</v>
      </c>
      <c r="H156" s="1">
        <v>14</v>
      </c>
      <c r="I156" s="1">
        <v>6</v>
      </c>
      <c r="J156" s="1">
        <v>11</v>
      </c>
      <c r="K156" s="2">
        <v>44801</v>
      </c>
      <c r="L156" s="2">
        <v>17881</v>
      </c>
    </row>
    <row r="157" spans="1:12" ht="15.75" customHeight="1" x14ac:dyDescent="0.2">
      <c r="A157" s="7">
        <v>46096</v>
      </c>
      <c r="B157" s="1">
        <v>1</v>
      </c>
      <c r="C157" s="1" t="s">
        <v>49</v>
      </c>
      <c r="D157" s="1" t="str">
        <f t="shared" si="2"/>
        <v>승</v>
      </c>
      <c r="E157" s="1" t="s">
        <v>15</v>
      </c>
      <c r="F157" s="1" t="s">
        <v>30</v>
      </c>
      <c r="G157" s="1" t="s">
        <v>65</v>
      </c>
      <c r="H157" s="1">
        <v>0</v>
      </c>
      <c r="I157" s="1">
        <v>5</v>
      </c>
      <c r="J157" s="1">
        <v>21</v>
      </c>
      <c r="K157" s="2">
        <v>7262</v>
      </c>
      <c r="L157" s="2">
        <v>10064</v>
      </c>
    </row>
    <row r="158" spans="1:12" ht="15.75" customHeight="1" x14ac:dyDescent="0.2">
      <c r="A158" s="7">
        <v>46096</v>
      </c>
      <c r="B158" s="1">
        <v>1</v>
      </c>
      <c r="C158" s="1" t="s">
        <v>32</v>
      </c>
      <c r="D158" s="1" t="str">
        <f t="shared" si="2"/>
        <v>패</v>
      </c>
      <c r="E158" s="1" t="s">
        <v>33</v>
      </c>
      <c r="F158" s="1" t="s">
        <v>16</v>
      </c>
      <c r="G158" s="1" t="s">
        <v>101</v>
      </c>
      <c r="H158" s="1">
        <v>2</v>
      </c>
      <c r="I158" s="1">
        <v>7</v>
      </c>
      <c r="J158" s="1">
        <v>3</v>
      </c>
      <c r="K158" s="2">
        <v>16171</v>
      </c>
      <c r="L158" s="2">
        <v>12254</v>
      </c>
    </row>
    <row r="159" spans="1:12" ht="15.75" customHeight="1" x14ac:dyDescent="0.2">
      <c r="A159" s="7">
        <v>46096</v>
      </c>
      <c r="B159" s="1">
        <v>1</v>
      </c>
      <c r="C159" s="1" t="s">
        <v>42</v>
      </c>
      <c r="D159" s="1" t="str">
        <f t="shared" si="2"/>
        <v>패</v>
      </c>
      <c r="E159" s="1" t="s">
        <v>33</v>
      </c>
      <c r="F159" s="1" t="s">
        <v>22</v>
      </c>
      <c r="G159" s="1" t="s">
        <v>83</v>
      </c>
      <c r="H159" s="1">
        <v>4</v>
      </c>
      <c r="I159" s="1">
        <v>12</v>
      </c>
      <c r="J159" s="1">
        <v>5</v>
      </c>
      <c r="K159" s="2">
        <v>14203</v>
      </c>
      <c r="L159" s="2">
        <v>14076</v>
      </c>
    </row>
    <row r="160" spans="1:12" ht="15.75" customHeight="1" x14ac:dyDescent="0.2">
      <c r="A160" s="7">
        <v>46096</v>
      </c>
      <c r="B160" s="1">
        <v>1</v>
      </c>
      <c r="C160" s="1" t="s">
        <v>27</v>
      </c>
      <c r="D160" s="1" t="str">
        <f t="shared" si="2"/>
        <v>패</v>
      </c>
      <c r="E160" s="1" t="s">
        <v>33</v>
      </c>
      <c r="F160" s="1" t="s">
        <v>18</v>
      </c>
      <c r="G160" s="1" t="s">
        <v>102</v>
      </c>
      <c r="H160" s="1">
        <v>7</v>
      </c>
      <c r="I160" s="1">
        <v>6</v>
      </c>
      <c r="J160" s="1">
        <v>7</v>
      </c>
      <c r="K160" s="2">
        <v>39095</v>
      </c>
      <c r="L160" s="2">
        <v>14322</v>
      </c>
    </row>
    <row r="161" spans="1:12" ht="15.75" customHeight="1" x14ac:dyDescent="0.2">
      <c r="A161" s="7">
        <v>46096</v>
      </c>
      <c r="B161" s="1">
        <v>1</v>
      </c>
      <c r="C161" s="1" t="s">
        <v>38</v>
      </c>
      <c r="D161" s="1" t="str">
        <f t="shared" si="2"/>
        <v>패</v>
      </c>
      <c r="E161" s="1" t="s">
        <v>33</v>
      </c>
      <c r="F161" s="1" t="s">
        <v>28</v>
      </c>
      <c r="G161" s="1" t="s">
        <v>90</v>
      </c>
      <c r="H161" s="1">
        <v>7</v>
      </c>
      <c r="I161" s="1">
        <v>6</v>
      </c>
      <c r="J161" s="1">
        <v>3</v>
      </c>
      <c r="K161" s="2">
        <v>30995</v>
      </c>
      <c r="L161" s="2">
        <v>14959</v>
      </c>
    </row>
    <row r="162" spans="1:12" ht="15.75" customHeight="1" x14ac:dyDescent="0.2">
      <c r="A162" s="7">
        <v>46096</v>
      </c>
      <c r="B162" s="1">
        <v>1</v>
      </c>
      <c r="C162" s="1" t="s">
        <v>20</v>
      </c>
      <c r="D162" s="1" t="str">
        <f t="shared" ref="D162:D225" si="3">IF(B162=1,IF(COUNTIFS(A$2:A$1000,A162,C$2:C$1000,C162,E$2:E$1000,"승")&gt;COUNTIFS(A$2:A$1000,A162,C$2:C$1000,C162,E$2:E$1000,"패"),"승","패"),"")</f>
        <v>패</v>
      </c>
      <c r="E162" s="1" t="s">
        <v>33</v>
      </c>
      <c r="F162" s="1" t="s">
        <v>30</v>
      </c>
      <c r="G162" s="1" t="s">
        <v>60</v>
      </c>
      <c r="H162" s="1">
        <v>2</v>
      </c>
      <c r="I162" s="1">
        <v>9</v>
      </c>
      <c r="J162" s="1">
        <v>10</v>
      </c>
      <c r="K162" s="2">
        <v>25374</v>
      </c>
      <c r="L162" s="2">
        <v>10260</v>
      </c>
    </row>
    <row r="163" spans="1:12" ht="15.75" customHeight="1" x14ac:dyDescent="0.2">
      <c r="A163" s="7">
        <v>46096</v>
      </c>
      <c r="B163" s="1">
        <v>2</v>
      </c>
      <c r="C163" s="1" t="s">
        <v>37</v>
      </c>
      <c r="D163" s="1" t="str">
        <f t="shared" si="3"/>
        <v/>
      </c>
      <c r="E163" s="1" t="s">
        <v>15</v>
      </c>
      <c r="F163" s="1" t="s">
        <v>16</v>
      </c>
      <c r="G163" s="1" t="s">
        <v>103</v>
      </c>
      <c r="H163" s="1">
        <v>10</v>
      </c>
      <c r="I163" s="1">
        <v>3</v>
      </c>
      <c r="J163" s="1">
        <v>1</v>
      </c>
      <c r="K163" s="2">
        <v>36181</v>
      </c>
      <c r="L163" s="2">
        <v>15190</v>
      </c>
    </row>
    <row r="164" spans="1:12" ht="15.75" customHeight="1" x14ac:dyDescent="0.2">
      <c r="A164" s="7">
        <v>46096</v>
      </c>
      <c r="B164" s="1">
        <v>2</v>
      </c>
      <c r="C164" s="1" t="s">
        <v>21</v>
      </c>
      <c r="D164" s="1" t="str">
        <f t="shared" si="3"/>
        <v/>
      </c>
      <c r="E164" s="1" t="s">
        <v>15</v>
      </c>
      <c r="F164" s="1" t="s">
        <v>22</v>
      </c>
      <c r="G164" s="1" t="s">
        <v>66</v>
      </c>
      <c r="H164" s="1">
        <v>2</v>
      </c>
      <c r="I164" s="1">
        <v>1</v>
      </c>
      <c r="J164" s="1">
        <v>13</v>
      </c>
      <c r="K164" s="2">
        <v>6231</v>
      </c>
      <c r="L164" s="2">
        <v>11025</v>
      </c>
    </row>
    <row r="165" spans="1:12" ht="15.75" customHeight="1" x14ac:dyDescent="0.2">
      <c r="A165" s="7">
        <v>46096</v>
      </c>
      <c r="B165" s="1">
        <v>2</v>
      </c>
      <c r="C165" s="1" t="s">
        <v>14</v>
      </c>
      <c r="D165" s="1" t="str">
        <f t="shared" si="3"/>
        <v/>
      </c>
      <c r="E165" s="1" t="s">
        <v>15</v>
      </c>
      <c r="F165" s="1" t="s">
        <v>18</v>
      </c>
      <c r="G165" s="1" t="s">
        <v>24</v>
      </c>
      <c r="H165" s="1">
        <v>4</v>
      </c>
      <c r="I165" s="1">
        <v>1</v>
      </c>
      <c r="J165" s="1">
        <v>3</v>
      </c>
      <c r="K165" s="2">
        <v>18068</v>
      </c>
      <c r="L165" s="2">
        <v>11224</v>
      </c>
    </row>
    <row r="166" spans="1:12" ht="15.75" customHeight="1" x14ac:dyDescent="0.2">
      <c r="A166" s="7">
        <v>46096</v>
      </c>
      <c r="B166" s="1">
        <v>2</v>
      </c>
      <c r="C166" s="1" t="s">
        <v>51</v>
      </c>
      <c r="D166" s="1" t="str">
        <f t="shared" si="3"/>
        <v/>
      </c>
      <c r="E166" s="1" t="s">
        <v>15</v>
      </c>
      <c r="F166" s="1" t="s">
        <v>28</v>
      </c>
      <c r="G166" s="1" t="s">
        <v>92</v>
      </c>
      <c r="H166" s="1">
        <v>5</v>
      </c>
      <c r="I166" s="1">
        <v>3</v>
      </c>
      <c r="J166" s="1">
        <v>7</v>
      </c>
      <c r="K166" s="2">
        <v>15329</v>
      </c>
      <c r="L166" s="2">
        <v>13275</v>
      </c>
    </row>
    <row r="167" spans="1:12" ht="15.75" customHeight="1" x14ac:dyDescent="0.2">
      <c r="A167" s="7">
        <v>46096</v>
      </c>
      <c r="B167" s="1">
        <v>2</v>
      </c>
      <c r="C167" s="1" t="s">
        <v>49</v>
      </c>
      <c r="D167" s="1" t="str">
        <f t="shared" si="3"/>
        <v/>
      </c>
      <c r="E167" s="1" t="s">
        <v>15</v>
      </c>
      <c r="F167" s="1" t="s">
        <v>30</v>
      </c>
      <c r="G167" s="1" t="s">
        <v>104</v>
      </c>
      <c r="H167" s="1">
        <v>4</v>
      </c>
      <c r="I167" s="1">
        <v>3</v>
      </c>
      <c r="J167" s="1">
        <v>12</v>
      </c>
      <c r="K167" s="2">
        <v>15046</v>
      </c>
      <c r="L167" s="2">
        <v>8988</v>
      </c>
    </row>
    <row r="168" spans="1:12" ht="15.75" customHeight="1" x14ac:dyDescent="0.2">
      <c r="A168" s="7">
        <v>46096</v>
      </c>
      <c r="B168" s="1">
        <v>2</v>
      </c>
      <c r="C168" s="1" t="s">
        <v>32</v>
      </c>
      <c r="D168" s="1" t="str">
        <f t="shared" si="3"/>
        <v/>
      </c>
      <c r="E168" s="1" t="s">
        <v>33</v>
      </c>
      <c r="F168" s="1" t="s">
        <v>16</v>
      </c>
      <c r="G168" s="1" t="s">
        <v>61</v>
      </c>
      <c r="H168" s="1">
        <v>1</v>
      </c>
      <c r="I168" s="1">
        <v>5</v>
      </c>
      <c r="J168" s="1">
        <v>1</v>
      </c>
      <c r="K168" s="2">
        <v>9212</v>
      </c>
      <c r="L168" s="2">
        <v>9470</v>
      </c>
    </row>
    <row r="169" spans="1:12" ht="15.75" customHeight="1" x14ac:dyDescent="0.2">
      <c r="A169" s="7">
        <v>46096</v>
      </c>
      <c r="B169" s="1">
        <v>2</v>
      </c>
      <c r="C169" s="1" t="s">
        <v>42</v>
      </c>
      <c r="D169" s="1" t="str">
        <f t="shared" si="3"/>
        <v/>
      </c>
      <c r="E169" s="1" t="s">
        <v>33</v>
      </c>
      <c r="F169" s="1" t="s">
        <v>22</v>
      </c>
      <c r="G169" s="1" t="s">
        <v>105</v>
      </c>
      <c r="H169" s="1">
        <v>4</v>
      </c>
      <c r="I169" s="1">
        <v>4</v>
      </c>
      <c r="J169" s="1">
        <v>2</v>
      </c>
      <c r="K169" s="2">
        <v>11776</v>
      </c>
      <c r="L169" s="2">
        <v>11390</v>
      </c>
    </row>
    <row r="170" spans="1:12" ht="15.75" customHeight="1" x14ac:dyDescent="0.2">
      <c r="A170" s="7">
        <v>46096</v>
      </c>
      <c r="B170" s="1">
        <v>2</v>
      </c>
      <c r="C170" s="1" t="s">
        <v>27</v>
      </c>
      <c r="D170" s="1" t="str">
        <f t="shared" si="3"/>
        <v/>
      </c>
      <c r="E170" s="1" t="s">
        <v>33</v>
      </c>
      <c r="F170" s="1" t="s">
        <v>18</v>
      </c>
      <c r="G170" s="1" t="s">
        <v>102</v>
      </c>
      <c r="H170" s="1">
        <v>2</v>
      </c>
      <c r="I170" s="1">
        <v>4</v>
      </c>
      <c r="J170" s="1">
        <v>2</v>
      </c>
      <c r="K170" s="2">
        <v>15387</v>
      </c>
      <c r="L170" s="2">
        <v>10340</v>
      </c>
    </row>
    <row r="171" spans="1:12" ht="15.75" customHeight="1" x14ac:dyDescent="0.2">
      <c r="A171" s="7">
        <v>46096</v>
      </c>
      <c r="B171" s="1">
        <v>2</v>
      </c>
      <c r="C171" s="1" t="s">
        <v>38</v>
      </c>
      <c r="D171" s="1" t="str">
        <f t="shared" si="3"/>
        <v/>
      </c>
      <c r="E171" s="1" t="s">
        <v>33</v>
      </c>
      <c r="F171" s="1" t="s">
        <v>28</v>
      </c>
      <c r="G171" s="1" t="s">
        <v>39</v>
      </c>
      <c r="H171" s="1">
        <v>2</v>
      </c>
      <c r="I171" s="1">
        <v>6</v>
      </c>
      <c r="J171" s="1">
        <v>3</v>
      </c>
      <c r="K171" s="2">
        <v>12445</v>
      </c>
      <c r="L171" s="2">
        <v>11813</v>
      </c>
    </row>
    <row r="172" spans="1:12" ht="15.75" customHeight="1" x14ac:dyDescent="0.2">
      <c r="A172" s="7">
        <v>46096</v>
      </c>
      <c r="B172" s="1">
        <v>2</v>
      </c>
      <c r="C172" s="1" t="s">
        <v>20</v>
      </c>
      <c r="D172" s="1" t="str">
        <f t="shared" si="3"/>
        <v/>
      </c>
      <c r="E172" s="1" t="s">
        <v>33</v>
      </c>
      <c r="F172" s="1" t="s">
        <v>30</v>
      </c>
      <c r="G172" s="1" t="s">
        <v>84</v>
      </c>
      <c r="H172" s="1">
        <v>2</v>
      </c>
      <c r="I172" s="1">
        <v>6</v>
      </c>
      <c r="J172" s="1">
        <v>5</v>
      </c>
      <c r="K172" s="2">
        <v>22173</v>
      </c>
      <c r="L172" s="2">
        <v>9298</v>
      </c>
    </row>
    <row r="173" spans="1:12" ht="15.75" customHeight="1" x14ac:dyDescent="0.2">
      <c r="A173" s="7">
        <v>46096</v>
      </c>
      <c r="B173" s="1">
        <v>3</v>
      </c>
      <c r="C173" s="1" t="s">
        <v>37</v>
      </c>
      <c r="D173" s="1" t="str">
        <f t="shared" si="3"/>
        <v/>
      </c>
      <c r="E173" s="1" t="s">
        <v>15</v>
      </c>
      <c r="F173" s="1" t="s">
        <v>16</v>
      </c>
      <c r="G173" s="1" t="s">
        <v>24</v>
      </c>
      <c r="H173" s="1">
        <v>3</v>
      </c>
      <c r="I173" s="1">
        <v>2</v>
      </c>
      <c r="J173" s="1">
        <v>5</v>
      </c>
      <c r="K173" s="2">
        <v>16803</v>
      </c>
      <c r="L173" s="2">
        <v>11594</v>
      </c>
    </row>
    <row r="174" spans="1:12" ht="15.75" customHeight="1" x14ac:dyDescent="0.2">
      <c r="A174" s="7">
        <v>46096</v>
      </c>
      <c r="B174" s="1">
        <v>3</v>
      </c>
      <c r="C174" s="1" t="s">
        <v>21</v>
      </c>
      <c r="D174" s="1" t="str">
        <f t="shared" si="3"/>
        <v/>
      </c>
      <c r="E174" s="1" t="s">
        <v>15</v>
      </c>
      <c r="F174" s="1" t="s">
        <v>22</v>
      </c>
      <c r="G174" s="1" t="s">
        <v>43</v>
      </c>
      <c r="H174" s="1">
        <v>9</v>
      </c>
      <c r="I174" s="1">
        <v>3</v>
      </c>
      <c r="J174" s="1">
        <v>10</v>
      </c>
      <c r="K174" s="2">
        <v>14225</v>
      </c>
      <c r="L174" s="2">
        <v>13837</v>
      </c>
    </row>
    <row r="175" spans="1:12" ht="15.75" customHeight="1" x14ac:dyDescent="0.2">
      <c r="A175" s="7">
        <v>46096</v>
      </c>
      <c r="B175" s="1">
        <v>3</v>
      </c>
      <c r="C175" s="1" t="s">
        <v>14</v>
      </c>
      <c r="D175" s="1" t="str">
        <f t="shared" si="3"/>
        <v/>
      </c>
      <c r="E175" s="1" t="s">
        <v>15</v>
      </c>
      <c r="F175" s="1" t="s">
        <v>18</v>
      </c>
      <c r="G175" s="1" t="s">
        <v>19</v>
      </c>
      <c r="H175" s="1">
        <v>8</v>
      </c>
      <c r="I175" s="1">
        <v>5</v>
      </c>
      <c r="J175" s="1">
        <v>5</v>
      </c>
      <c r="K175" s="2">
        <v>19075</v>
      </c>
      <c r="L175" s="2">
        <v>12034</v>
      </c>
    </row>
    <row r="176" spans="1:12" ht="15.75" customHeight="1" x14ac:dyDescent="0.2">
      <c r="A176" s="7">
        <v>46096</v>
      </c>
      <c r="B176" s="1">
        <v>3</v>
      </c>
      <c r="C176" s="1" t="s">
        <v>51</v>
      </c>
      <c r="D176" s="1" t="str">
        <f t="shared" si="3"/>
        <v/>
      </c>
      <c r="E176" s="1" t="s">
        <v>15</v>
      </c>
      <c r="F176" s="1" t="s">
        <v>28</v>
      </c>
      <c r="G176" s="1" t="s">
        <v>84</v>
      </c>
      <c r="H176" s="1">
        <v>14</v>
      </c>
      <c r="I176" s="1">
        <v>2</v>
      </c>
      <c r="J176" s="1">
        <v>8</v>
      </c>
      <c r="K176" s="2">
        <v>40729</v>
      </c>
      <c r="L176" s="2">
        <v>15269</v>
      </c>
    </row>
    <row r="177" spans="1:12" ht="15.75" customHeight="1" x14ac:dyDescent="0.2">
      <c r="A177" s="7">
        <v>46096</v>
      </c>
      <c r="B177" s="1">
        <v>3</v>
      </c>
      <c r="C177" s="1" t="s">
        <v>49</v>
      </c>
      <c r="D177" s="1" t="str">
        <f t="shared" si="3"/>
        <v/>
      </c>
      <c r="E177" s="1" t="s">
        <v>15</v>
      </c>
      <c r="F177" s="1" t="s">
        <v>30</v>
      </c>
      <c r="G177" s="1" t="s">
        <v>65</v>
      </c>
      <c r="H177" s="1">
        <v>0</v>
      </c>
      <c r="I177" s="1">
        <v>3</v>
      </c>
      <c r="J177" s="1">
        <v>27</v>
      </c>
      <c r="K177" s="2">
        <v>9081</v>
      </c>
      <c r="L177" s="2">
        <v>8733</v>
      </c>
    </row>
    <row r="178" spans="1:12" ht="15.75" customHeight="1" x14ac:dyDescent="0.2">
      <c r="A178" s="7">
        <v>46096</v>
      </c>
      <c r="B178" s="1">
        <v>3</v>
      </c>
      <c r="C178" s="1" t="s">
        <v>27</v>
      </c>
      <c r="D178" s="1" t="str">
        <f t="shared" si="3"/>
        <v/>
      </c>
      <c r="E178" s="1" t="s">
        <v>33</v>
      </c>
      <c r="F178" s="1" t="s">
        <v>16</v>
      </c>
      <c r="G178" s="1" t="s">
        <v>92</v>
      </c>
      <c r="H178" s="1">
        <v>3</v>
      </c>
      <c r="I178" s="1">
        <v>4</v>
      </c>
      <c r="J178" s="1">
        <v>3</v>
      </c>
      <c r="K178" s="2">
        <v>15453</v>
      </c>
      <c r="L178" s="2">
        <v>8879</v>
      </c>
    </row>
    <row r="179" spans="1:12" ht="15.75" customHeight="1" x14ac:dyDescent="0.2">
      <c r="A179" s="7">
        <v>46096</v>
      </c>
      <c r="B179" s="1">
        <v>3</v>
      </c>
      <c r="C179" s="1" t="s">
        <v>20</v>
      </c>
      <c r="D179" s="1" t="str">
        <f t="shared" si="3"/>
        <v/>
      </c>
      <c r="E179" s="1" t="s">
        <v>33</v>
      </c>
      <c r="F179" s="1" t="s">
        <v>22</v>
      </c>
      <c r="G179" s="1" t="s">
        <v>106</v>
      </c>
      <c r="H179" s="1">
        <v>5</v>
      </c>
      <c r="I179" s="1">
        <v>5</v>
      </c>
      <c r="J179" s="1">
        <v>5</v>
      </c>
      <c r="K179" s="2">
        <v>13866</v>
      </c>
      <c r="L179" s="2">
        <v>10679</v>
      </c>
    </row>
    <row r="180" spans="1:12" ht="15.75" customHeight="1" x14ac:dyDescent="0.2">
      <c r="A180" s="7">
        <v>46096</v>
      </c>
      <c r="B180" s="1">
        <v>3</v>
      </c>
      <c r="C180" s="1" t="s">
        <v>42</v>
      </c>
      <c r="D180" s="1" t="str">
        <f t="shared" si="3"/>
        <v/>
      </c>
      <c r="E180" s="1" t="s">
        <v>33</v>
      </c>
      <c r="F180" s="1" t="s">
        <v>18</v>
      </c>
      <c r="G180" s="1" t="s">
        <v>63</v>
      </c>
      <c r="H180" s="1">
        <v>2</v>
      </c>
      <c r="I180" s="1">
        <v>6</v>
      </c>
      <c r="J180" s="1">
        <v>2</v>
      </c>
      <c r="K180" s="2">
        <v>11930</v>
      </c>
      <c r="L180" s="2">
        <v>8964</v>
      </c>
    </row>
    <row r="181" spans="1:12" ht="15.75" customHeight="1" x14ac:dyDescent="0.2">
      <c r="A181" s="7">
        <v>46096</v>
      </c>
      <c r="B181" s="1">
        <v>3</v>
      </c>
      <c r="C181" s="1" t="s">
        <v>38</v>
      </c>
      <c r="D181" s="1" t="str">
        <f t="shared" si="3"/>
        <v/>
      </c>
      <c r="E181" s="1" t="s">
        <v>33</v>
      </c>
      <c r="F181" s="1" t="s">
        <v>28</v>
      </c>
      <c r="G181" s="1" t="s">
        <v>80</v>
      </c>
      <c r="H181" s="1">
        <v>3</v>
      </c>
      <c r="I181" s="1">
        <v>7</v>
      </c>
      <c r="J181" s="1">
        <v>7</v>
      </c>
      <c r="K181" s="2">
        <v>24277</v>
      </c>
      <c r="L181" s="2">
        <v>11963</v>
      </c>
    </row>
    <row r="182" spans="1:12" ht="15.75" customHeight="1" x14ac:dyDescent="0.2">
      <c r="A182" s="7">
        <v>46096</v>
      </c>
      <c r="B182" s="1">
        <v>3</v>
      </c>
      <c r="C182" s="1" t="s">
        <v>32</v>
      </c>
      <c r="D182" s="1" t="str">
        <f t="shared" si="3"/>
        <v/>
      </c>
      <c r="E182" s="1" t="s">
        <v>33</v>
      </c>
      <c r="F182" s="1" t="s">
        <v>30</v>
      </c>
      <c r="G182" s="1" t="s">
        <v>57</v>
      </c>
      <c r="H182" s="1">
        <v>2</v>
      </c>
      <c r="I182" s="1">
        <v>12</v>
      </c>
      <c r="J182" s="1">
        <v>8</v>
      </c>
      <c r="K182" s="2">
        <v>8264</v>
      </c>
      <c r="L182" s="2">
        <v>7126</v>
      </c>
    </row>
    <row r="183" spans="1:12" ht="15.75" customHeight="1" x14ac:dyDescent="0.2">
      <c r="A183" s="7">
        <v>46241</v>
      </c>
      <c r="B183" s="1">
        <v>1</v>
      </c>
      <c r="C183" s="1" t="s">
        <v>53</v>
      </c>
      <c r="D183" s="1" t="str">
        <f t="shared" si="3"/>
        <v>승</v>
      </c>
      <c r="E183" s="1" t="s">
        <v>15</v>
      </c>
      <c r="F183" s="1" t="s">
        <v>16</v>
      </c>
      <c r="G183" s="1" t="s">
        <v>87</v>
      </c>
      <c r="H183" s="1">
        <v>1</v>
      </c>
      <c r="I183" s="1">
        <v>6</v>
      </c>
      <c r="J183" s="1">
        <v>9</v>
      </c>
      <c r="K183" s="2">
        <v>16228</v>
      </c>
      <c r="L183" s="2">
        <v>9759</v>
      </c>
    </row>
    <row r="184" spans="1:12" ht="15.75" customHeight="1" x14ac:dyDescent="0.2">
      <c r="A184" s="7">
        <v>46241</v>
      </c>
      <c r="B184" s="1">
        <v>1</v>
      </c>
      <c r="C184" s="1" t="s">
        <v>21</v>
      </c>
      <c r="D184" s="1" t="str">
        <f t="shared" si="3"/>
        <v>승</v>
      </c>
      <c r="E184" s="1" t="s">
        <v>15</v>
      </c>
      <c r="F184" s="1" t="s">
        <v>22</v>
      </c>
      <c r="G184" s="1" t="s">
        <v>43</v>
      </c>
      <c r="H184" s="1">
        <v>9</v>
      </c>
      <c r="I184" s="1">
        <v>4</v>
      </c>
      <c r="J184" s="1">
        <v>15</v>
      </c>
      <c r="K184" s="2">
        <v>27959</v>
      </c>
      <c r="L184" s="2">
        <v>16563</v>
      </c>
    </row>
    <row r="185" spans="1:12" ht="15.75" customHeight="1" x14ac:dyDescent="0.2">
      <c r="A185" s="7">
        <v>46241</v>
      </c>
      <c r="B185" s="1">
        <v>1</v>
      </c>
      <c r="C185" s="1" t="s">
        <v>14</v>
      </c>
      <c r="D185" s="1" t="str">
        <f t="shared" si="3"/>
        <v>승</v>
      </c>
      <c r="E185" s="1" t="s">
        <v>15</v>
      </c>
      <c r="F185" s="1" t="s">
        <v>18</v>
      </c>
      <c r="G185" s="1" t="s">
        <v>24</v>
      </c>
      <c r="H185" s="1">
        <v>13</v>
      </c>
      <c r="I185" s="1">
        <v>2</v>
      </c>
      <c r="J185" s="1">
        <v>10</v>
      </c>
      <c r="K185" s="2">
        <v>41676</v>
      </c>
      <c r="L185" s="2">
        <v>17525</v>
      </c>
    </row>
    <row r="186" spans="1:12" ht="15.75" customHeight="1" x14ac:dyDescent="0.2">
      <c r="A186" s="7">
        <v>46241</v>
      </c>
      <c r="B186" s="1">
        <v>1</v>
      </c>
      <c r="C186" s="1" t="s">
        <v>38</v>
      </c>
      <c r="D186" s="1" t="str">
        <f t="shared" si="3"/>
        <v>승</v>
      </c>
      <c r="E186" s="1" t="s">
        <v>15</v>
      </c>
      <c r="F186" s="1" t="s">
        <v>28</v>
      </c>
      <c r="G186" s="1" t="s">
        <v>107</v>
      </c>
      <c r="H186" s="1">
        <v>7</v>
      </c>
      <c r="I186" s="1">
        <v>3</v>
      </c>
      <c r="J186" s="1">
        <v>7</v>
      </c>
      <c r="K186" s="2">
        <v>43243</v>
      </c>
      <c r="L186" s="2">
        <v>15432</v>
      </c>
    </row>
    <row r="187" spans="1:12" ht="15.75" customHeight="1" x14ac:dyDescent="0.2">
      <c r="A187" s="7">
        <v>46241</v>
      </c>
      <c r="B187" s="1">
        <v>1</v>
      </c>
      <c r="C187" s="1" t="s">
        <v>54</v>
      </c>
      <c r="D187" s="1" t="str">
        <f t="shared" si="3"/>
        <v>승</v>
      </c>
      <c r="E187" s="1" t="s">
        <v>15</v>
      </c>
      <c r="F187" s="1" t="s">
        <v>30</v>
      </c>
      <c r="G187" s="1" t="s">
        <v>86</v>
      </c>
      <c r="H187" s="1">
        <v>0</v>
      </c>
      <c r="I187" s="1">
        <v>6</v>
      </c>
      <c r="J187" s="1">
        <v>20</v>
      </c>
      <c r="K187" s="2">
        <v>7937</v>
      </c>
      <c r="L187" s="2">
        <v>9417</v>
      </c>
    </row>
    <row r="188" spans="1:12" ht="15.75" customHeight="1" x14ac:dyDescent="0.2">
      <c r="A188" s="7">
        <v>46241</v>
      </c>
      <c r="B188" s="1">
        <v>1</v>
      </c>
      <c r="C188" s="1" t="s">
        <v>56</v>
      </c>
      <c r="D188" s="1" t="str">
        <f t="shared" si="3"/>
        <v>패</v>
      </c>
      <c r="E188" s="1" t="s">
        <v>33</v>
      </c>
      <c r="F188" s="1" t="s">
        <v>16</v>
      </c>
      <c r="G188" s="1" t="s">
        <v>61</v>
      </c>
      <c r="H188" s="1">
        <v>4</v>
      </c>
      <c r="I188" s="1">
        <v>3</v>
      </c>
      <c r="J188" s="1">
        <v>8</v>
      </c>
      <c r="K188" s="2">
        <v>22674</v>
      </c>
      <c r="L188" s="2">
        <v>11770</v>
      </c>
    </row>
    <row r="189" spans="1:12" ht="15.75" customHeight="1" x14ac:dyDescent="0.2">
      <c r="A189" s="7">
        <v>46241</v>
      </c>
      <c r="B189" s="1">
        <v>1</v>
      </c>
      <c r="C189" s="1" t="s">
        <v>42</v>
      </c>
      <c r="D189" s="1" t="str">
        <f t="shared" si="3"/>
        <v>패</v>
      </c>
      <c r="E189" s="1" t="s">
        <v>33</v>
      </c>
      <c r="F189" s="1" t="s">
        <v>22</v>
      </c>
      <c r="G189" s="1" t="s">
        <v>60</v>
      </c>
      <c r="H189" s="1">
        <v>5</v>
      </c>
      <c r="I189" s="1">
        <v>6</v>
      </c>
      <c r="J189" s="1">
        <v>6</v>
      </c>
      <c r="K189" s="2">
        <v>27045</v>
      </c>
      <c r="L189" s="2">
        <v>14344</v>
      </c>
    </row>
    <row r="190" spans="1:12" ht="15.75" customHeight="1" x14ac:dyDescent="0.2">
      <c r="A190" s="7">
        <v>46241</v>
      </c>
      <c r="B190" s="1">
        <v>1</v>
      </c>
      <c r="C190" s="1" t="s">
        <v>27</v>
      </c>
      <c r="D190" s="1" t="str">
        <f t="shared" si="3"/>
        <v>패</v>
      </c>
      <c r="E190" s="1" t="s">
        <v>33</v>
      </c>
      <c r="F190" s="1" t="s">
        <v>18</v>
      </c>
      <c r="G190" s="1" t="s">
        <v>108</v>
      </c>
      <c r="H190" s="1">
        <v>5</v>
      </c>
      <c r="I190" s="1">
        <v>7</v>
      </c>
      <c r="J190" s="1">
        <v>9</v>
      </c>
      <c r="K190" s="2">
        <v>33545</v>
      </c>
      <c r="L190" s="2">
        <v>12962</v>
      </c>
    </row>
    <row r="191" spans="1:12" ht="15.75" customHeight="1" x14ac:dyDescent="0.2">
      <c r="A191" s="7">
        <v>46241</v>
      </c>
      <c r="B191" s="1">
        <v>1</v>
      </c>
      <c r="C191" s="1" t="s">
        <v>20</v>
      </c>
      <c r="D191" s="1" t="str">
        <f t="shared" si="3"/>
        <v>패</v>
      </c>
      <c r="E191" s="1" t="s">
        <v>33</v>
      </c>
      <c r="F191" s="1" t="s">
        <v>28</v>
      </c>
      <c r="G191" s="1" t="s">
        <v>69</v>
      </c>
      <c r="H191" s="1">
        <v>6</v>
      </c>
      <c r="I191" s="1">
        <v>6</v>
      </c>
      <c r="J191" s="1">
        <v>5</v>
      </c>
      <c r="K191" s="2">
        <v>26312</v>
      </c>
      <c r="L191" s="2">
        <v>13676</v>
      </c>
    </row>
    <row r="192" spans="1:12" ht="15.75" customHeight="1" x14ac:dyDescent="0.2">
      <c r="A192" s="7">
        <v>46241</v>
      </c>
      <c r="B192" s="1">
        <v>1</v>
      </c>
      <c r="C192" s="1" t="s">
        <v>58</v>
      </c>
      <c r="D192" s="1" t="str">
        <f t="shared" si="3"/>
        <v>패</v>
      </c>
      <c r="E192" s="1" t="s">
        <v>33</v>
      </c>
      <c r="F192" s="1" t="s">
        <v>30</v>
      </c>
      <c r="G192" s="1" t="s">
        <v>88</v>
      </c>
      <c r="H192" s="1">
        <v>1</v>
      </c>
      <c r="I192" s="1">
        <v>8</v>
      </c>
      <c r="J192" s="1">
        <v>10</v>
      </c>
      <c r="K192" s="2">
        <v>4375</v>
      </c>
      <c r="L192" s="2">
        <v>7298</v>
      </c>
    </row>
    <row r="193" spans="1:12" ht="15.75" customHeight="1" x14ac:dyDescent="0.2">
      <c r="A193" s="7">
        <v>46241</v>
      </c>
      <c r="B193" s="1">
        <v>2</v>
      </c>
      <c r="C193" s="1" t="s">
        <v>53</v>
      </c>
      <c r="D193" s="1" t="str">
        <f t="shared" si="3"/>
        <v/>
      </c>
      <c r="E193" s="1" t="s">
        <v>33</v>
      </c>
      <c r="F193" s="1" t="s">
        <v>16</v>
      </c>
      <c r="G193" s="1" t="s">
        <v>109</v>
      </c>
      <c r="H193" s="1">
        <v>2</v>
      </c>
      <c r="I193" s="1">
        <v>8</v>
      </c>
      <c r="J193" s="1">
        <v>3</v>
      </c>
      <c r="K193" s="2">
        <v>11418</v>
      </c>
      <c r="L193" s="2">
        <v>8703</v>
      </c>
    </row>
    <row r="194" spans="1:12" ht="15.75" customHeight="1" x14ac:dyDescent="0.2">
      <c r="A194" s="7">
        <v>46241</v>
      </c>
      <c r="B194" s="1">
        <v>2</v>
      </c>
      <c r="C194" s="1" t="s">
        <v>21</v>
      </c>
      <c r="D194" s="1" t="str">
        <f t="shared" si="3"/>
        <v/>
      </c>
      <c r="E194" s="1" t="s">
        <v>33</v>
      </c>
      <c r="F194" s="1" t="s">
        <v>22</v>
      </c>
      <c r="G194" s="1" t="s">
        <v>87</v>
      </c>
      <c r="H194" s="1">
        <v>1</v>
      </c>
      <c r="I194" s="1">
        <v>6</v>
      </c>
      <c r="J194" s="1">
        <v>7</v>
      </c>
      <c r="K194" s="2">
        <v>11457</v>
      </c>
      <c r="L194" s="2">
        <v>9308</v>
      </c>
    </row>
    <row r="195" spans="1:12" ht="15.75" customHeight="1" x14ac:dyDescent="0.2">
      <c r="A195" s="7">
        <v>46241</v>
      </c>
      <c r="B195" s="1">
        <v>2</v>
      </c>
      <c r="C195" s="1" t="s">
        <v>14</v>
      </c>
      <c r="D195" s="1" t="str">
        <f t="shared" si="3"/>
        <v/>
      </c>
      <c r="E195" s="1" t="s">
        <v>33</v>
      </c>
      <c r="F195" s="1" t="s">
        <v>18</v>
      </c>
      <c r="G195" s="1" t="s">
        <v>24</v>
      </c>
      <c r="H195" s="1">
        <v>2</v>
      </c>
      <c r="I195" s="1">
        <v>7</v>
      </c>
      <c r="J195" s="1">
        <v>1</v>
      </c>
      <c r="K195" s="2">
        <v>19550</v>
      </c>
      <c r="L195" s="2">
        <v>9517</v>
      </c>
    </row>
    <row r="196" spans="1:12" ht="15.75" customHeight="1" x14ac:dyDescent="0.2">
      <c r="A196" s="7">
        <v>46241</v>
      </c>
      <c r="B196" s="1">
        <v>2</v>
      </c>
      <c r="C196" s="1" t="s">
        <v>38</v>
      </c>
      <c r="D196" s="1" t="str">
        <f t="shared" si="3"/>
        <v/>
      </c>
      <c r="E196" s="1" t="s">
        <v>33</v>
      </c>
      <c r="F196" s="1" t="s">
        <v>28</v>
      </c>
      <c r="G196" s="1" t="s">
        <v>90</v>
      </c>
      <c r="H196" s="1">
        <v>9</v>
      </c>
      <c r="I196" s="1">
        <v>4</v>
      </c>
      <c r="J196" s="1">
        <v>1</v>
      </c>
      <c r="K196" s="2">
        <v>21576</v>
      </c>
      <c r="L196" s="2">
        <v>12404</v>
      </c>
    </row>
    <row r="197" spans="1:12" ht="15.75" customHeight="1" x14ac:dyDescent="0.2">
      <c r="A197" s="7">
        <v>46241</v>
      </c>
      <c r="B197" s="1">
        <v>2</v>
      </c>
      <c r="C197" s="1" t="s">
        <v>54</v>
      </c>
      <c r="D197" s="1" t="str">
        <f t="shared" si="3"/>
        <v/>
      </c>
      <c r="E197" s="1" t="s">
        <v>33</v>
      </c>
      <c r="F197" s="1" t="s">
        <v>30</v>
      </c>
      <c r="G197" s="1" t="s">
        <v>70</v>
      </c>
      <c r="H197" s="1">
        <v>0</v>
      </c>
      <c r="I197" s="1">
        <v>8</v>
      </c>
      <c r="J197" s="1">
        <v>12</v>
      </c>
      <c r="K197" s="2">
        <v>7792</v>
      </c>
      <c r="L197" s="2">
        <v>6920</v>
      </c>
    </row>
    <row r="198" spans="1:12" ht="15.75" customHeight="1" x14ac:dyDescent="0.2">
      <c r="A198" s="7">
        <v>46241</v>
      </c>
      <c r="B198" s="1">
        <v>2</v>
      </c>
      <c r="C198" s="1" t="s">
        <v>56</v>
      </c>
      <c r="D198" s="1" t="str">
        <f t="shared" si="3"/>
        <v/>
      </c>
      <c r="E198" s="1" t="s">
        <v>15</v>
      </c>
      <c r="F198" s="1" t="s">
        <v>16</v>
      </c>
      <c r="G198" s="1" t="s">
        <v>110</v>
      </c>
      <c r="H198" s="1">
        <v>9</v>
      </c>
      <c r="I198" s="1">
        <v>0</v>
      </c>
      <c r="J198" s="1">
        <v>8</v>
      </c>
      <c r="K198" s="2">
        <v>24815</v>
      </c>
      <c r="L198" s="2">
        <v>12997</v>
      </c>
    </row>
    <row r="199" spans="1:12" ht="15.75" customHeight="1" x14ac:dyDescent="0.2">
      <c r="A199" s="7">
        <v>46241</v>
      </c>
      <c r="B199" s="1">
        <v>2</v>
      </c>
      <c r="C199" s="1" t="s">
        <v>42</v>
      </c>
      <c r="D199" s="1" t="str">
        <f t="shared" si="3"/>
        <v/>
      </c>
      <c r="E199" s="1" t="s">
        <v>15</v>
      </c>
      <c r="F199" s="1" t="s">
        <v>22</v>
      </c>
      <c r="G199" s="1" t="s">
        <v>23</v>
      </c>
      <c r="H199" s="1">
        <v>7</v>
      </c>
      <c r="I199" s="1">
        <v>3</v>
      </c>
      <c r="J199" s="1">
        <v>16</v>
      </c>
      <c r="K199" s="2">
        <v>21757</v>
      </c>
      <c r="L199" s="2">
        <v>13273</v>
      </c>
    </row>
    <row r="200" spans="1:12" ht="15.75" customHeight="1" x14ac:dyDescent="0.2">
      <c r="A200" s="7">
        <v>46241</v>
      </c>
      <c r="B200" s="1">
        <v>2</v>
      </c>
      <c r="C200" s="1" t="s">
        <v>27</v>
      </c>
      <c r="D200" s="1" t="str">
        <f t="shared" si="3"/>
        <v/>
      </c>
      <c r="E200" s="1" t="s">
        <v>15</v>
      </c>
      <c r="F200" s="1" t="s">
        <v>18</v>
      </c>
      <c r="G200" s="1" t="s">
        <v>111</v>
      </c>
      <c r="H200" s="1">
        <v>13</v>
      </c>
      <c r="I200" s="1">
        <v>0</v>
      </c>
      <c r="J200" s="1">
        <v>11</v>
      </c>
      <c r="K200" s="2">
        <v>36044</v>
      </c>
      <c r="L200" s="2">
        <v>15296</v>
      </c>
    </row>
    <row r="201" spans="1:12" ht="15.75" customHeight="1" x14ac:dyDescent="0.2">
      <c r="A201" s="7">
        <v>46241</v>
      </c>
      <c r="B201" s="1">
        <v>2</v>
      </c>
      <c r="C201" s="1" t="s">
        <v>20</v>
      </c>
      <c r="D201" s="1" t="str">
        <f t="shared" si="3"/>
        <v/>
      </c>
      <c r="E201" s="1" t="s">
        <v>15</v>
      </c>
      <c r="F201" s="1" t="s">
        <v>28</v>
      </c>
      <c r="G201" s="1" t="s">
        <v>112</v>
      </c>
      <c r="H201" s="1">
        <v>3</v>
      </c>
      <c r="I201" s="1">
        <v>5</v>
      </c>
      <c r="J201" s="1">
        <v>11</v>
      </c>
      <c r="K201" s="2">
        <v>16484</v>
      </c>
      <c r="L201" s="2">
        <v>12780</v>
      </c>
    </row>
    <row r="202" spans="1:12" ht="15.75" customHeight="1" x14ac:dyDescent="0.2">
      <c r="A202" s="7">
        <v>46241</v>
      </c>
      <c r="B202" s="1">
        <v>2</v>
      </c>
      <c r="C202" s="1" t="s">
        <v>58</v>
      </c>
      <c r="D202" s="1" t="str">
        <f t="shared" si="3"/>
        <v/>
      </c>
      <c r="E202" s="1" t="s">
        <v>15</v>
      </c>
      <c r="F202" s="1" t="s">
        <v>30</v>
      </c>
      <c r="G202" s="1" t="s">
        <v>88</v>
      </c>
      <c r="H202" s="1">
        <v>1</v>
      </c>
      <c r="I202" s="1">
        <v>6</v>
      </c>
      <c r="J202" s="1">
        <v>6</v>
      </c>
      <c r="K202" s="2">
        <v>3231</v>
      </c>
      <c r="L202" s="2">
        <v>6327</v>
      </c>
    </row>
    <row r="203" spans="1:12" ht="15.75" customHeight="1" x14ac:dyDescent="0.2">
      <c r="A203" s="7">
        <v>46241</v>
      </c>
      <c r="B203" s="1">
        <v>3</v>
      </c>
      <c r="C203" s="1" t="s">
        <v>53</v>
      </c>
      <c r="D203" s="1" t="str">
        <f t="shared" si="3"/>
        <v/>
      </c>
      <c r="E203" s="1" t="s">
        <v>15</v>
      </c>
      <c r="F203" s="1" t="s">
        <v>16</v>
      </c>
      <c r="G203" s="1" t="s">
        <v>87</v>
      </c>
      <c r="H203" s="1">
        <v>10</v>
      </c>
      <c r="I203" s="1">
        <v>8</v>
      </c>
      <c r="J203" s="1">
        <v>16</v>
      </c>
      <c r="K203" s="2">
        <v>29594</v>
      </c>
      <c r="L203" s="2">
        <v>16582</v>
      </c>
    </row>
    <row r="204" spans="1:12" ht="15.75" customHeight="1" x14ac:dyDescent="0.2">
      <c r="A204" s="7">
        <v>46241</v>
      </c>
      <c r="B204" s="1">
        <v>3</v>
      </c>
      <c r="C204" s="1" t="s">
        <v>21</v>
      </c>
      <c r="D204" s="1" t="str">
        <f t="shared" si="3"/>
        <v/>
      </c>
      <c r="E204" s="1" t="s">
        <v>15</v>
      </c>
      <c r="F204" s="1" t="s">
        <v>22</v>
      </c>
      <c r="G204" s="1" t="s">
        <v>113</v>
      </c>
      <c r="H204" s="1">
        <v>13</v>
      </c>
      <c r="I204" s="1">
        <v>9</v>
      </c>
      <c r="J204" s="1">
        <v>21</v>
      </c>
      <c r="K204" s="2">
        <v>42987</v>
      </c>
      <c r="L204" s="2">
        <v>19705</v>
      </c>
    </row>
    <row r="205" spans="1:12" ht="15.75" customHeight="1" x14ac:dyDescent="0.2">
      <c r="A205" s="7">
        <v>46241</v>
      </c>
      <c r="B205" s="1">
        <v>3</v>
      </c>
      <c r="C205" s="1" t="s">
        <v>14</v>
      </c>
      <c r="D205" s="1" t="str">
        <f t="shared" si="3"/>
        <v/>
      </c>
      <c r="E205" s="1" t="s">
        <v>15</v>
      </c>
      <c r="F205" s="1" t="s">
        <v>18</v>
      </c>
      <c r="G205" s="1" t="s">
        <v>19</v>
      </c>
      <c r="H205" s="1">
        <v>7</v>
      </c>
      <c r="I205" s="1">
        <v>13</v>
      </c>
      <c r="J205" s="1">
        <v>20</v>
      </c>
      <c r="K205" s="2">
        <v>49028</v>
      </c>
      <c r="L205" s="2">
        <v>17993</v>
      </c>
    </row>
    <row r="206" spans="1:12" ht="15.75" customHeight="1" x14ac:dyDescent="0.2">
      <c r="A206" s="7">
        <v>46241</v>
      </c>
      <c r="B206" s="1">
        <v>3</v>
      </c>
      <c r="C206" s="1" t="s">
        <v>38</v>
      </c>
      <c r="D206" s="1" t="str">
        <f t="shared" si="3"/>
        <v/>
      </c>
      <c r="E206" s="1" t="s">
        <v>15</v>
      </c>
      <c r="F206" s="1" t="s">
        <v>28</v>
      </c>
      <c r="G206" s="1" t="s">
        <v>55</v>
      </c>
      <c r="H206" s="1">
        <v>14</v>
      </c>
      <c r="I206" s="1">
        <v>10</v>
      </c>
      <c r="J206" s="1">
        <v>16</v>
      </c>
      <c r="K206" s="2">
        <v>50215</v>
      </c>
      <c r="L206" s="2">
        <v>23800</v>
      </c>
    </row>
    <row r="207" spans="1:12" ht="15.75" customHeight="1" x14ac:dyDescent="0.2">
      <c r="A207" s="7">
        <v>46241</v>
      </c>
      <c r="B207" s="1">
        <v>3</v>
      </c>
      <c r="C207" s="1" t="s">
        <v>54</v>
      </c>
      <c r="D207" s="1" t="str">
        <f t="shared" si="3"/>
        <v/>
      </c>
      <c r="E207" s="1" t="s">
        <v>15</v>
      </c>
      <c r="F207" s="1" t="s">
        <v>30</v>
      </c>
      <c r="G207" s="1" t="s">
        <v>81</v>
      </c>
      <c r="H207" s="1">
        <v>2</v>
      </c>
      <c r="I207" s="1">
        <v>10</v>
      </c>
      <c r="J207" s="1">
        <v>30</v>
      </c>
      <c r="K207" s="2">
        <v>12284</v>
      </c>
      <c r="L207" s="2">
        <v>12346</v>
      </c>
    </row>
    <row r="208" spans="1:12" ht="15.75" customHeight="1" x14ac:dyDescent="0.2">
      <c r="A208" s="7">
        <v>46241</v>
      </c>
      <c r="B208" s="1">
        <v>3</v>
      </c>
      <c r="C208" s="1" t="s">
        <v>56</v>
      </c>
      <c r="D208" s="1" t="str">
        <f t="shared" si="3"/>
        <v/>
      </c>
      <c r="E208" s="1" t="s">
        <v>33</v>
      </c>
      <c r="F208" s="1" t="s">
        <v>16</v>
      </c>
      <c r="G208" s="1" t="s">
        <v>99</v>
      </c>
      <c r="H208" s="1">
        <v>9</v>
      </c>
      <c r="I208" s="1">
        <v>11</v>
      </c>
      <c r="J208" s="1">
        <v>12</v>
      </c>
      <c r="K208" s="2">
        <v>44963</v>
      </c>
      <c r="L208" s="2">
        <v>14779</v>
      </c>
    </row>
    <row r="209" spans="1:12" ht="15.75" customHeight="1" x14ac:dyDescent="0.2">
      <c r="A209" s="7">
        <v>46241</v>
      </c>
      <c r="B209" s="1">
        <v>3</v>
      </c>
      <c r="C209" s="1" t="s">
        <v>42</v>
      </c>
      <c r="D209" s="1" t="str">
        <f t="shared" si="3"/>
        <v/>
      </c>
      <c r="E209" s="1" t="s">
        <v>33</v>
      </c>
      <c r="F209" s="1" t="s">
        <v>22</v>
      </c>
      <c r="G209" s="1" t="s">
        <v>114</v>
      </c>
      <c r="H209" s="1">
        <v>16</v>
      </c>
      <c r="I209" s="1">
        <v>8</v>
      </c>
      <c r="J209" s="1">
        <v>16</v>
      </c>
      <c r="K209" s="2">
        <v>33733</v>
      </c>
      <c r="L209" s="2">
        <v>20543</v>
      </c>
    </row>
    <row r="210" spans="1:12" ht="15.75" customHeight="1" x14ac:dyDescent="0.2">
      <c r="A210" s="7">
        <v>46241</v>
      </c>
      <c r="B210" s="1">
        <v>3</v>
      </c>
      <c r="C210" s="1" t="s">
        <v>27</v>
      </c>
      <c r="D210" s="1" t="str">
        <f t="shared" si="3"/>
        <v/>
      </c>
      <c r="E210" s="1" t="s">
        <v>33</v>
      </c>
      <c r="F210" s="1" t="s">
        <v>18</v>
      </c>
      <c r="G210" s="1" t="s">
        <v>73</v>
      </c>
      <c r="H210" s="1">
        <v>9</v>
      </c>
      <c r="I210" s="1">
        <v>10</v>
      </c>
      <c r="J210" s="1">
        <v>17</v>
      </c>
      <c r="K210" s="2">
        <v>59873</v>
      </c>
      <c r="L210" s="2">
        <v>17984</v>
      </c>
    </row>
    <row r="211" spans="1:12" ht="15.75" customHeight="1" x14ac:dyDescent="0.2">
      <c r="A211" s="7">
        <v>46241</v>
      </c>
      <c r="B211" s="1">
        <v>3</v>
      </c>
      <c r="C211" s="1" t="s">
        <v>20</v>
      </c>
      <c r="D211" s="1" t="str">
        <f t="shared" si="3"/>
        <v/>
      </c>
      <c r="E211" s="1" t="s">
        <v>33</v>
      </c>
      <c r="F211" s="1" t="s">
        <v>28</v>
      </c>
      <c r="G211" s="1" t="s">
        <v>115</v>
      </c>
      <c r="H211" s="1">
        <v>16</v>
      </c>
      <c r="I211" s="1">
        <v>4</v>
      </c>
      <c r="J211" s="1">
        <v>18</v>
      </c>
      <c r="K211" s="2">
        <v>84922</v>
      </c>
      <c r="L211" s="2">
        <v>24443</v>
      </c>
    </row>
    <row r="212" spans="1:12" ht="15.75" customHeight="1" x14ac:dyDescent="0.2">
      <c r="A212" s="7">
        <v>46241</v>
      </c>
      <c r="B212" s="1">
        <v>3</v>
      </c>
      <c r="C212" s="1" t="s">
        <v>58</v>
      </c>
      <c r="D212" s="1" t="str">
        <f t="shared" si="3"/>
        <v/>
      </c>
      <c r="E212" s="1" t="s">
        <v>33</v>
      </c>
      <c r="F212" s="1" t="s">
        <v>30</v>
      </c>
      <c r="G212" s="1" t="s">
        <v>88</v>
      </c>
      <c r="H212" s="1">
        <v>0</v>
      </c>
      <c r="I212" s="1">
        <v>13</v>
      </c>
      <c r="J212" s="1">
        <v>20</v>
      </c>
      <c r="K212" s="2">
        <v>10196</v>
      </c>
      <c r="L212" s="2">
        <v>9882</v>
      </c>
    </row>
    <row r="213" spans="1:12" ht="15.75" customHeight="1" x14ac:dyDescent="0.2">
      <c r="A213" s="7">
        <v>46276</v>
      </c>
      <c r="B213" s="1">
        <v>1</v>
      </c>
      <c r="C213" s="1" t="s">
        <v>42</v>
      </c>
      <c r="D213" s="1" t="str">
        <f t="shared" si="3"/>
        <v>승</v>
      </c>
      <c r="E213" s="1" t="s">
        <v>15</v>
      </c>
      <c r="F213" s="1" t="s">
        <v>16</v>
      </c>
      <c r="G213" s="1" t="s">
        <v>23</v>
      </c>
      <c r="H213" s="1">
        <v>2</v>
      </c>
      <c r="I213" s="1">
        <v>2</v>
      </c>
      <c r="J213" s="1">
        <v>15</v>
      </c>
      <c r="K213" s="2">
        <v>28658</v>
      </c>
      <c r="L213" s="2">
        <v>11363</v>
      </c>
    </row>
    <row r="214" spans="1:12" ht="15.75" customHeight="1" x14ac:dyDescent="0.2">
      <c r="A214" s="7">
        <v>46276</v>
      </c>
      <c r="B214" s="1">
        <v>1</v>
      </c>
      <c r="C214" s="1" t="s">
        <v>44</v>
      </c>
      <c r="D214" s="1" t="str">
        <f t="shared" si="3"/>
        <v>승</v>
      </c>
      <c r="E214" s="1" t="s">
        <v>15</v>
      </c>
      <c r="F214" s="1" t="s">
        <v>22</v>
      </c>
      <c r="G214" s="1" t="s">
        <v>116</v>
      </c>
      <c r="H214" s="1">
        <v>12</v>
      </c>
      <c r="I214" s="1">
        <v>6</v>
      </c>
      <c r="J214" s="1">
        <v>13</v>
      </c>
      <c r="K214" s="2">
        <v>24906</v>
      </c>
      <c r="L214" s="6"/>
    </row>
    <row r="215" spans="1:12" ht="15.75" customHeight="1" x14ac:dyDescent="0.2">
      <c r="A215" s="7">
        <v>46276</v>
      </c>
      <c r="B215" s="1">
        <v>1</v>
      </c>
      <c r="C215" s="1" t="s">
        <v>14</v>
      </c>
      <c r="D215" s="1" t="str">
        <f t="shared" si="3"/>
        <v>승</v>
      </c>
      <c r="E215" s="1" t="s">
        <v>15</v>
      </c>
      <c r="F215" s="1" t="s">
        <v>18</v>
      </c>
      <c r="G215" s="1" t="s">
        <v>17</v>
      </c>
      <c r="H215" s="1">
        <v>12</v>
      </c>
      <c r="I215" s="1">
        <v>5</v>
      </c>
      <c r="J215" s="1">
        <v>10</v>
      </c>
      <c r="K215" s="2">
        <v>40699</v>
      </c>
      <c r="L215" s="2">
        <v>14984</v>
      </c>
    </row>
    <row r="216" spans="1:12" ht="15.75" customHeight="1" x14ac:dyDescent="0.2">
      <c r="A216" s="7">
        <v>46276</v>
      </c>
      <c r="B216" s="1">
        <v>1</v>
      </c>
      <c r="C216" s="1" t="s">
        <v>38</v>
      </c>
      <c r="D216" s="1" t="str">
        <f t="shared" si="3"/>
        <v>승</v>
      </c>
      <c r="E216" s="1" t="s">
        <v>15</v>
      </c>
      <c r="F216" s="1" t="s">
        <v>28</v>
      </c>
      <c r="G216" s="1" t="s">
        <v>55</v>
      </c>
      <c r="H216" s="1">
        <v>12</v>
      </c>
      <c r="I216" s="1">
        <v>4</v>
      </c>
      <c r="J216" s="1">
        <v>14</v>
      </c>
      <c r="K216" s="2">
        <v>38179</v>
      </c>
      <c r="L216" s="2">
        <v>17319</v>
      </c>
    </row>
    <row r="217" spans="1:12" ht="15.75" customHeight="1" x14ac:dyDescent="0.2">
      <c r="A217" s="7">
        <v>46276</v>
      </c>
      <c r="B217" s="1">
        <v>1</v>
      </c>
      <c r="C217" s="1" t="s">
        <v>40</v>
      </c>
      <c r="D217" s="1" t="str">
        <f t="shared" si="3"/>
        <v>승</v>
      </c>
      <c r="E217" s="1" t="s">
        <v>15</v>
      </c>
      <c r="F217" s="1" t="s">
        <v>30</v>
      </c>
      <c r="G217" s="1" t="s">
        <v>57</v>
      </c>
      <c r="H217" s="1">
        <v>1</v>
      </c>
      <c r="I217" s="1">
        <v>7</v>
      </c>
      <c r="J217" s="1">
        <v>27</v>
      </c>
      <c r="K217" s="2">
        <v>13652</v>
      </c>
      <c r="L217" s="2">
        <v>9515</v>
      </c>
    </row>
    <row r="218" spans="1:12" ht="15.75" customHeight="1" x14ac:dyDescent="0.2">
      <c r="A218" s="7">
        <v>46276</v>
      </c>
      <c r="B218" s="1">
        <v>1</v>
      </c>
      <c r="C218" s="1" t="s">
        <v>56</v>
      </c>
      <c r="D218" s="1" t="str">
        <f t="shared" si="3"/>
        <v>패</v>
      </c>
      <c r="E218" s="1" t="s">
        <v>33</v>
      </c>
      <c r="F218" s="1" t="s">
        <v>16</v>
      </c>
      <c r="G218" s="1" t="s">
        <v>117</v>
      </c>
      <c r="H218" s="1">
        <v>0</v>
      </c>
      <c r="I218" s="1">
        <v>7</v>
      </c>
      <c r="J218" s="1">
        <v>10</v>
      </c>
      <c r="K218" s="2">
        <v>16450</v>
      </c>
      <c r="L218" s="2">
        <v>10546</v>
      </c>
    </row>
    <row r="219" spans="1:12" ht="15.75" customHeight="1" x14ac:dyDescent="0.2">
      <c r="A219" s="7">
        <v>46276</v>
      </c>
      <c r="B219" s="1">
        <v>1</v>
      </c>
      <c r="C219" s="1" t="s">
        <v>35</v>
      </c>
      <c r="D219" s="1" t="str">
        <f t="shared" si="3"/>
        <v>패</v>
      </c>
      <c r="E219" s="1" t="s">
        <v>33</v>
      </c>
      <c r="F219" s="1" t="s">
        <v>22</v>
      </c>
      <c r="G219" s="1" t="s">
        <v>67</v>
      </c>
      <c r="H219" s="1">
        <v>11</v>
      </c>
      <c r="I219" s="1">
        <v>8</v>
      </c>
      <c r="J219" s="1">
        <v>10</v>
      </c>
      <c r="K219" s="2">
        <v>26628</v>
      </c>
      <c r="L219" s="2">
        <v>14886</v>
      </c>
    </row>
    <row r="220" spans="1:12" ht="15.75" customHeight="1" x14ac:dyDescent="0.2">
      <c r="A220" s="7">
        <v>46276</v>
      </c>
      <c r="B220" s="1">
        <v>1</v>
      </c>
      <c r="C220" s="1" t="s">
        <v>27</v>
      </c>
      <c r="D220" s="1" t="str">
        <f t="shared" si="3"/>
        <v>패</v>
      </c>
      <c r="E220" s="1" t="s">
        <v>33</v>
      </c>
      <c r="F220" s="1" t="s">
        <v>18</v>
      </c>
      <c r="G220" s="1" t="s">
        <v>36</v>
      </c>
      <c r="H220" s="1">
        <v>4</v>
      </c>
      <c r="I220" s="1">
        <v>7</v>
      </c>
      <c r="J220" s="1">
        <v>9</v>
      </c>
      <c r="K220" s="2">
        <v>15802</v>
      </c>
      <c r="L220" s="2">
        <v>10908</v>
      </c>
    </row>
    <row r="221" spans="1:12" ht="15.75" customHeight="1" x14ac:dyDescent="0.2">
      <c r="A221" s="7">
        <v>46276</v>
      </c>
      <c r="B221" s="1">
        <v>1</v>
      </c>
      <c r="C221" s="1" t="s">
        <v>51</v>
      </c>
      <c r="D221" s="1" t="str">
        <f t="shared" si="3"/>
        <v>패</v>
      </c>
      <c r="E221" s="1" t="s">
        <v>33</v>
      </c>
      <c r="F221" s="1" t="s">
        <v>28</v>
      </c>
      <c r="G221" s="1" t="s">
        <v>29</v>
      </c>
      <c r="H221" s="1">
        <v>8</v>
      </c>
      <c r="I221" s="1">
        <v>6</v>
      </c>
      <c r="J221" s="1">
        <v>7</v>
      </c>
      <c r="K221" s="2">
        <v>29410</v>
      </c>
      <c r="L221" s="2">
        <v>15346</v>
      </c>
    </row>
    <row r="222" spans="1:12" ht="15.75" customHeight="1" x14ac:dyDescent="0.2">
      <c r="A222" s="7">
        <v>46276</v>
      </c>
      <c r="B222" s="1">
        <v>1</v>
      </c>
      <c r="C222" s="1" t="s">
        <v>20</v>
      </c>
      <c r="D222" s="1" t="str">
        <f t="shared" si="3"/>
        <v>패</v>
      </c>
      <c r="E222" s="1" t="s">
        <v>33</v>
      </c>
      <c r="F222" s="1" t="s">
        <v>30</v>
      </c>
      <c r="G222" s="1" t="s">
        <v>118</v>
      </c>
      <c r="H222" s="1">
        <v>0</v>
      </c>
      <c r="I222" s="1">
        <v>11</v>
      </c>
      <c r="J222" s="1">
        <v>10</v>
      </c>
      <c r="K222" s="2">
        <v>8587</v>
      </c>
      <c r="L222" s="2">
        <v>7298</v>
      </c>
    </row>
    <row r="223" spans="1:12" ht="15.75" customHeight="1" x14ac:dyDescent="0.2">
      <c r="A223" s="7">
        <v>46276</v>
      </c>
      <c r="B223" s="1">
        <v>2</v>
      </c>
      <c r="C223" s="1" t="s">
        <v>42</v>
      </c>
      <c r="D223" s="1" t="str">
        <f t="shared" si="3"/>
        <v/>
      </c>
      <c r="E223" s="1" t="s">
        <v>15</v>
      </c>
      <c r="F223" s="1" t="s">
        <v>16</v>
      </c>
      <c r="G223" s="1" t="s">
        <v>78</v>
      </c>
      <c r="H223" s="1">
        <v>2</v>
      </c>
      <c r="I223" s="1">
        <v>4</v>
      </c>
      <c r="J223" s="1">
        <v>8</v>
      </c>
      <c r="K223" s="2">
        <v>21355</v>
      </c>
      <c r="L223" s="2">
        <v>12323</v>
      </c>
    </row>
    <row r="224" spans="1:12" ht="15.75" customHeight="1" x14ac:dyDescent="0.2">
      <c r="A224" s="7">
        <v>46276</v>
      </c>
      <c r="B224" s="1">
        <v>2</v>
      </c>
      <c r="C224" s="1" t="s">
        <v>44</v>
      </c>
      <c r="D224" s="1" t="str">
        <f t="shared" si="3"/>
        <v/>
      </c>
      <c r="E224" s="1" t="s">
        <v>15</v>
      </c>
      <c r="F224" s="1" t="s">
        <v>22</v>
      </c>
      <c r="G224" s="1" t="s">
        <v>79</v>
      </c>
      <c r="H224" s="1">
        <v>10</v>
      </c>
      <c r="I224" s="1">
        <v>4</v>
      </c>
      <c r="J224" s="1">
        <v>18</v>
      </c>
      <c r="K224" s="2">
        <v>21262</v>
      </c>
      <c r="L224" s="2">
        <v>13212</v>
      </c>
    </row>
    <row r="225" spans="1:12" ht="15.75" customHeight="1" x14ac:dyDescent="0.2">
      <c r="A225" s="7">
        <v>46276</v>
      </c>
      <c r="B225" s="1">
        <v>2</v>
      </c>
      <c r="C225" s="1" t="s">
        <v>14</v>
      </c>
      <c r="D225" s="1" t="str">
        <f t="shared" si="3"/>
        <v/>
      </c>
      <c r="E225" s="1" t="s">
        <v>15</v>
      </c>
      <c r="F225" s="1" t="s">
        <v>18</v>
      </c>
      <c r="G225" s="1" t="s">
        <v>82</v>
      </c>
      <c r="H225" s="1">
        <v>10</v>
      </c>
      <c r="I225" s="1">
        <v>4</v>
      </c>
      <c r="J225" s="1">
        <v>17</v>
      </c>
      <c r="K225" s="2">
        <v>35150</v>
      </c>
      <c r="L225" s="2">
        <v>15579</v>
      </c>
    </row>
    <row r="226" spans="1:12" ht="15.75" customHeight="1" x14ac:dyDescent="0.2">
      <c r="A226" s="7">
        <v>46276</v>
      </c>
      <c r="B226" s="1">
        <v>2</v>
      </c>
      <c r="C226" s="1" t="s">
        <v>38</v>
      </c>
      <c r="D226" s="1" t="str">
        <f t="shared" ref="D226:D289" si="4">IF(B226=1,IF(COUNTIFS(A$2:A$1000,A226,C$2:C$1000,C226,E$2:E$1000,"승")&gt;COUNTIFS(A$2:A$1000,A226,C$2:C$1000,C226,E$2:E$1000,"패"),"승","패"),"")</f>
        <v/>
      </c>
      <c r="E226" s="1" t="s">
        <v>15</v>
      </c>
      <c r="F226" s="1" t="s">
        <v>28</v>
      </c>
      <c r="G226" s="1" t="s">
        <v>90</v>
      </c>
      <c r="H226" s="1">
        <v>14</v>
      </c>
      <c r="I226" s="1">
        <v>4</v>
      </c>
      <c r="J226" s="1">
        <v>11</v>
      </c>
      <c r="K226" s="2">
        <v>28405</v>
      </c>
      <c r="L226" s="2">
        <v>14985</v>
      </c>
    </row>
    <row r="227" spans="1:12" ht="15.75" customHeight="1" x14ac:dyDescent="0.2">
      <c r="A227" s="7">
        <v>46276</v>
      </c>
      <c r="B227" s="1">
        <v>2</v>
      </c>
      <c r="C227" s="1" t="s">
        <v>40</v>
      </c>
      <c r="D227" s="1" t="str">
        <f t="shared" si="4"/>
        <v/>
      </c>
      <c r="E227" s="1" t="s">
        <v>15</v>
      </c>
      <c r="F227" s="1" t="s">
        <v>30</v>
      </c>
      <c r="G227" s="1" t="s">
        <v>41</v>
      </c>
      <c r="H227" s="1">
        <v>5</v>
      </c>
      <c r="I227" s="1">
        <v>8</v>
      </c>
      <c r="J227" s="1">
        <v>26</v>
      </c>
      <c r="K227" s="2">
        <v>19947</v>
      </c>
      <c r="L227" s="2">
        <v>10036</v>
      </c>
    </row>
    <row r="228" spans="1:12" ht="15.75" customHeight="1" x14ac:dyDescent="0.2">
      <c r="A228" s="7">
        <v>46276</v>
      </c>
      <c r="B228" s="1">
        <v>2</v>
      </c>
      <c r="C228" s="1" t="s">
        <v>56</v>
      </c>
      <c r="D228" s="1" t="str">
        <f t="shared" si="4"/>
        <v/>
      </c>
      <c r="E228" s="1" t="s">
        <v>33</v>
      </c>
      <c r="F228" s="1" t="s">
        <v>16</v>
      </c>
      <c r="G228" s="1" t="s">
        <v>97</v>
      </c>
      <c r="H228" s="1">
        <v>2</v>
      </c>
      <c r="I228" s="1">
        <v>6</v>
      </c>
      <c r="J228" s="1">
        <v>7</v>
      </c>
      <c r="K228" s="2">
        <v>6030</v>
      </c>
      <c r="L228" s="2">
        <v>8053</v>
      </c>
    </row>
    <row r="229" spans="1:12" ht="15.75" customHeight="1" x14ac:dyDescent="0.2">
      <c r="A229" s="7">
        <v>46276</v>
      </c>
      <c r="B229" s="1">
        <v>2</v>
      </c>
      <c r="C229" s="1" t="s">
        <v>35</v>
      </c>
      <c r="D229" s="1" t="str">
        <f t="shared" si="4"/>
        <v/>
      </c>
      <c r="E229" s="1" t="s">
        <v>33</v>
      </c>
      <c r="F229" s="1" t="s">
        <v>22</v>
      </c>
      <c r="G229" s="1" t="s">
        <v>68</v>
      </c>
      <c r="H229" s="1">
        <v>8</v>
      </c>
      <c r="I229" s="1">
        <v>7</v>
      </c>
      <c r="J229" s="1">
        <v>8</v>
      </c>
      <c r="K229" s="2">
        <v>22567</v>
      </c>
      <c r="L229" s="2">
        <v>12966</v>
      </c>
    </row>
    <row r="230" spans="1:12" ht="15.75" customHeight="1" x14ac:dyDescent="0.2">
      <c r="A230" s="7">
        <v>46276</v>
      </c>
      <c r="B230" s="1">
        <v>2</v>
      </c>
      <c r="C230" s="1" t="s">
        <v>27</v>
      </c>
      <c r="D230" s="1" t="str">
        <f t="shared" si="4"/>
        <v/>
      </c>
      <c r="E230" s="1" t="s">
        <v>33</v>
      </c>
      <c r="F230" s="1" t="s">
        <v>18</v>
      </c>
      <c r="G230" s="1" t="s">
        <v>119</v>
      </c>
      <c r="H230" s="1">
        <v>7</v>
      </c>
      <c r="I230" s="1">
        <v>5</v>
      </c>
      <c r="J230" s="1">
        <v>5</v>
      </c>
      <c r="K230" s="2">
        <v>16575</v>
      </c>
      <c r="L230" s="2">
        <v>12105</v>
      </c>
    </row>
    <row r="231" spans="1:12" ht="15.75" customHeight="1" x14ac:dyDescent="0.2">
      <c r="A231" s="7">
        <v>46276</v>
      </c>
      <c r="B231" s="1">
        <v>2</v>
      </c>
      <c r="C231" s="1" t="s">
        <v>51</v>
      </c>
      <c r="D231" s="1" t="str">
        <f t="shared" si="4"/>
        <v/>
      </c>
      <c r="E231" s="1" t="s">
        <v>33</v>
      </c>
      <c r="F231" s="1" t="s">
        <v>28</v>
      </c>
      <c r="G231" s="1" t="s">
        <v>80</v>
      </c>
      <c r="H231" s="1">
        <v>2</v>
      </c>
      <c r="I231" s="1">
        <v>10</v>
      </c>
      <c r="J231" s="1">
        <v>6</v>
      </c>
      <c r="K231" s="2">
        <v>11390</v>
      </c>
      <c r="L231" s="2">
        <v>10814</v>
      </c>
    </row>
    <row r="232" spans="1:12" ht="15.75" customHeight="1" x14ac:dyDescent="0.2">
      <c r="A232" s="7">
        <v>46276</v>
      </c>
      <c r="B232" s="1">
        <v>2</v>
      </c>
      <c r="C232" s="1" t="s">
        <v>20</v>
      </c>
      <c r="D232" s="1" t="str">
        <f t="shared" si="4"/>
        <v/>
      </c>
      <c r="E232" s="1" t="s">
        <v>33</v>
      </c>
      <c r="F232" s="1" t="s">
        <v>30</v>
      </c>
      <c r="G232" s="1" t="s">
        <v>41</v>
      </c>
      <c r="H232" s="1">
        <v>4</v>
      </c>
      <c r="I232" s="1">
        <v>13</v>
      </c>
      <c r="J232" s="1">
        <v>3</v>
      </c>
      <c r="K232" s="2">
        <v>13675</v>
      </c>
      <c r="L232" s="2">
        <v>9825</v>
      </c>
    </row>
    <row r="233" spans="1:12" ht="15.75" customHeight="1" x14ac:dyDescent="0.2">
      <c r="A233" s="7">
        <v>46276</v>
      </c>
      <c r="B233" s="1">
        <v>3</v>
      </c>
      <c r="C233" s="1" t="s">
        <v>42</v>
      </c>
      <c r="D233" s="1" t="str">
        <f t="shared" si="4"/>
        <v/>
      </c>
      <c r="E233" s="1" t="s">
        <v>33</v>
      </c>
      <c r="F233" s="1" t="s">
        <v>16</v>
      </c>
      <c r="G233" s="1" t="s">
        <v>114</v>
      </c>
      <c r="H233" s="1">
        <v>6</v>
      </c>
      <c r="I233" s="1">
        <v>7</v>
      </c>
      <c r="J233" s="1">
        <v>7</v>
      </c>
      <c r="K233" s="6"/>
      <c r="L233" s="2">
        <v>8100</v>
      </c>
    </row>
    <row r="234" spans="1:12" ht="15.75" customHeight="1" x14ac:dyDescent="0.2">
      <c r="A234" s="7">
        <v>46276</v>
      </c>
      <c r="B234" s="1">
        <v>3</v>
      </c>
      <c r="C234" s="1" t="s">
        <v>44</v>
      </c>
      <c r="D234" s="1" t="str">
        <f t="shared" si="4"/>
        <v/>
      </c>
      <c r="E234" s="1" t="s">
        <v>33</v>
      </c>
      <c r="F234" s="1" t="s">
        <v>22</v>
      </c>
      <c r="G234" s="1" t="s">
        <v>105</v>
      </c>
      <c r="H234" s="1">
        <v>2</v>
      </c>
      <c r="I234" s="1">
        <v>1</v>
      </c>
      <c r="J234" s="1">
        <v>0</v>
      </c>
      <c r="K234" s="6"/>
      <c r="L234" s="2">
        <v>6399</v>
      </c>
    </row>
    <row r="235" spans="1:12" ht="15.75" customHeight="1" x14ac:dyDescent="0.2">
      <c r="A235" s="7">
        <v>46276</v>
      </c>
      <c r="B235" s="1">
        <v>3</v>
      </c>
      <c r="C235" s="1" t="s">
        <v>14</v>
      </c>
      <c r="D235" s="1" t="str">
        <f t="shared" si="4"/>
        <v/>
      </c>
      <c r="E235" s="1" t="s">
        <v>33</v>
      </c>
      <c r="F235" s="1" t="s">
        <v>18</v>
      </c>
      <c r="G235" s="1" t="s">
        <v>36</v>
      </c>
      <c r="H235" s="1">
        <v>1</v>
      </c>
      <c r="I235" s="1">
        <v>8</v>
      </c>
      <c r="J235" s="1">
        <v>3</v>
      </c>
      <c r="K235" s="6"/>
      <c r="L235" s="2">
        <v>5443</v>
      </c>
    </row>
    <row r="236" spans="1:12" ht="15.75" customHeight="1" x14ac:dyDescent="0.2">
      <c r="A236" s="7">
        <v>46276</v>
      </c>
      <c r="B236" s="1">
        <v>3</v>
      </c>
      <c r="C236" s="1" t="s">
        <v>38</v>
      </c>
      <c r="D236" s="1" t="str">
        <f t="shared" si="4"/>
        <v/>
      </c>
      <c r="E236" s="1" t="s">
        <v>33</v>
      </c>
      <c r="F236" s="1" t="s">
        <v>28</v>
      </c>
      <c r="G236" s="1" t="s">
        <v>95</v>
      </c>
      <c r="H236" s="1">
        <v>5</v>
      </c>
      <c r="I236" s="1">
        <v>6</v>
      </c>
      <c r="J236" s="1">
        <v>4</v>
      </c>
      <c r="K236" s="6"/>
      <c r="L236" s="2">
        <v>8478</v>
      </c>
    </row>
    <row r="237" spans="1:12" ht="15.75" customHeight="1" x14ac:dyDescent="0.2">
      <c r="A237" s="7">
        <v>46276</v>
      </c>
      <c r="B237" s="1">
        <v>3</v>
      </c>
      <c r="C237" s="1" t="s">
        <v>40</v>
      </c>
      <c r="D237" s="1" t="str">
        <f t="shared" si="4"/>
        <v/>
      </c>
      <c r="E237" s="1" t="s">
        <v>33</v>
      </c>
      <c r="F237" s="1" t="s">
        <v>30</v>
      </c>
      <c r="G237" s="1" t="s">
        <v>65</v>
      </c>
      <c r="H237" s="1">
        <v>2</v>
      </c>
      <c r="I237" s="1">
        <v>8</v>
      </c>
      <c r="J237" s="1">
        <v>8</v>
      </c>
      <c r="K237" s="6"/>
      <c r="L237" s="2">
        <v>5196</v>
      </c>
    </row>
    <row r="238" spans="1:12" ht="15.75" customHeight="1" x14ac:dyDescent="0.2">
      <c r="A238" s="7">
        <v>46276</v>
      </c>
      <c r="B238" s="1">
        <v>3</v>
      </c>
      <c r="C238" s="1" t="s">
        <v>56</v>
      </c>
      <c r="D238" s="1" t="str">
        <f t="shared" si="4"/>
        <v/>
      </c>
      <c r="E238" s="1" t="s">
        <v>15</v>
      </c>
      <c r="F238" s="1" t="s">
        <v>16</v>
      </c>
      <c r="G238" s="1" t="s">
        <v>23</v>
      </c>
      <c r="H238" s="1">
        <v>1</v>
      </c>
      <c r="I238" s="1">
        <v>0</v>
      </c>
      <c r="J238" s="1">
        <v>8</v>
      </c>
      <c r="K238" s="6"/>
      <c r="L238" s="2">
        <v>6425</v>
      </c>
    </row>
    <row r="239" spans="1:12" ht="15.75" customHeight="1" x14ac:dyDescent="0.2">
      <c r="A239" s="7">
        <v>46276</v>
      </c>
      <c r="B239" s="1">
        <v>3</v>
      </c>
      <c r="C239" s="1" t="s">
        <v>35</v>
      </c>
      <c r="D239" s="1" t="str">
        <f t="shared" si="4"/>
        <v/>
      </c>
      <c r="E239" s="1" t="s">
        <v>15</v>
      </c>
      <c r="F239" s="1" t="s">
        <v>22</v>
      </c>
      <c r="G239" s="1" t="s">
        <v>120</v>
      </c>
      <c r="H239" s="1">
        <v>6</v>
      </c>
      <c r="I239" s="1">
        <v>4</v>
      </c>
      <c r="J239" s="1">
        <v>11</v>
      </c>
      <c r="K239" s="6"/>
      <c r="L239" s="2">
        <v>9269</v>
      </c>
    </row>
    <row r="240" spans="1:12" ht="15.75" customHeight="1" x14ac:dyDescent="0.2">
      <c r="A240" s="7">
        <v>46276</v>
      </c>
      <c r="B240" s="1">
        <v>3</v>
      </c>
      <c r="C240" s="1" t="s">
        <v>27</v>
      </c>
      <c r="D240" s="1" t="str">
        <f t="shared" si="4"/>
        <v/>
      </c>
      <c r="E240" s="1" t="s">
        <v>15</v>
      </c>
      <c r="F240" s="1" t="s">
        <v>18</v>
      </c>
      <c r="G240" s="1" t="s">
        <v>108</v>
      </c>
      <c r="H240" s="1">
        <v>9</v>
      </c>
      <c r="I240" s="1">
        <v>5</v>
      </c>
      <c r="J240" s="1">
        <v>12</v>
      </c>
      <c r="K240" s="6"/>
      <c r="L240" s="2">
        <v>8588</v>
      </c>
    </row>
    <row r="241" spans="1:12" ht="15.75" customHeight="1" x14ac:dyDescent="0.2">
      <c r="A241" s="7">
        <v>46276</v>
      </c>
      <c r="B241" s="1">
        <v>3</v>
      </c>
      <c r="C241" s="1" t="s">
        <v>51</v>
      </c>
      <c r="D241" s="1" t="str">
        <f t="shared" si="4"/>
        <v/>
      </c>
      <c r="E241" s="1" t="s">
        <v>15</v>
      </c>
      <c r="F241" s="1" t="s">
        <v>28</v>
      </c>
      <c r="G241" s="1" t="s">
        <v>121</v>
      </c>
      <c r="H241" s="1">
        <v>9</v>
      </c>
      <c r="I241" s="1">
        <v>3</v>
      </c>
      <c r="J241" s="1">
        <v>12</v>
      </c>
      <c r="K241" s="6"/>
      <c r="L241" s="2">
        <v>11530</v>
      </c>
    </row>
    <row r="242" spans="1:12" ht="15.75" customHeight="1" x14ac:dyDescent="0.2">
      <c r="A242" s="7">
        <v>46276</v>
      </c>
      <c r="B242" s="1">
        <v>3</v>
      </c>
      <c r="C242" s="1" t="s">
        <v>20</v>
      </c>
      <c r="D242" s="1" t="str">
        <f t="shared" si="4"/>
        <v/>
      </c>
      <c r="E242" s="1" t="s">
        <v>15</v>
      </c>
      <c r="F242" s="1" t="s">
        <v>30</v>
      </c>
      <c r="G242" s="1" t="s">
        <v>122</v>
      </c>
      <c r="H242" s="1">
        <v>5</v>
      </c>
      <c r="I242" s="1">
        <v>4</v>
      </c>
      <c r="J242" s="1">
        <v>19</v>
      </c>
      <c r="K242" s="6"/>
      <c r="L242" s="2">
        <v>7464</v>
      </c>
    </row>
    <row r="243" spans="1:12" ht="15.75" customHeight="1" x14ac:dyDescent="0.2">
      <c r="A243" s="7">
        <v>46276</v>
      </c>
      <c r="B243" s="1">
        <v>4</v>
      </c>
      <c r="C243" s="1" t="s">
        <v>42</v>
      </c>
      <c r="D243" s="1" t="str">
        <f t="shared" si="4"/>
        <v/>
      </c>
      <c r="E243" s="1" t="s">
        <v>33</v>
      </c>
      <c r="F243" s="1" t="s">
        <v>16</v>
      </c>
      <c r="G243" s="1" t="s">
        <v>123</v>
      </c>
      <c r="H243" s="1">
        <v>5</v>
      </c>
      <c r="I243" s="1">
        <v>15</v>
      </c>
      <c r="J243" s="1">
        <v>6</v>
      </c>
      <c r="K243" s="6"/>
      <c r="L243" s="2">
        <v>9948</v>
      </c>
    </row>
    <row r="244" spans="1:12" ht="15.75" customHeight="1" x14ac:dyDescent="0.2">
      <c r="A244" s="7">
        <v>46276</v>
      </c>
      <c r="B244" s="1">
        <v>4</v>
      </c>
      <c r="C244" s="1" t="s">
        <v>44</v>
      </c>
      <c r="D244" s="1" t="str">
        <f t="shared" si="4"/>
        <v/>
      </c>
      <c r="E244" s="1" t="s">
        <v>33</v>
      </c>
      <c r="F244" s="1" t="s">
        <v>22</v>
      </c>
      <c r="G244" s="1" t="s">
        <v>34</v>
      </c>
      <c r="H244" s="1">
        <v>1</v>
      </c>
      <c r="I244" s="1">
        <v>6</v>
      </c>
      <c r="J244" s="1">
        <v>4</v>
      </c>
      <c r="K244" s="6"/>
      <c r="L244" s="2">
        <v>9494</v>
      </c>
    </row>
    <row r="245" spans="1:12" ht="15.75" customHeight="1" x14ac:dyDescent="0.2">
      <c r="A245" s="7">
        <v>46276</v>
      </c>
      <c r="B245" s="1">
        <v>4</v>
      </c>
      <c r="C245" s="1" t="s">
        <v>14</v>
      </c>
      <c r="D245" s="1" t="str">
        <f t="shared" si="4"/>
        <v/>
      </c>
      <c r="E245" s="1" t="s">
        <v>33</v>
      </c>
      <c r="F245" s="1" t="s">
        <v>18</v>
      </c>
      <c r="G245" s="1" t="s">
        <v>24</v>
      </c>
      <c r="H245" s="1">
        <v>3</v>
      </c>
      <c r="I245" s="1">
        <v>9</v>
      </c>
      <c r="J245" s="1">
        <v>4</v>
      </c>
      <c r="K245" s="6"/>
      <c r="L245" s="2">
        <v>12544</v>
      </c>
    </row>
    <row r="246" spans="1:12" ht="15.75" customHeight="1" x14ac:dyDescent="0.2">
      <c r="A246" s="7">
        <v>46276</v>
      </c>
      <c r="B246" s="1">
        <v>4</v>
      </c>
      <c r="C246" s="1" t="s">
        <v>38</v>
      </c>
      <c r="D246" s="1" t="str">
        <f t="shared" si="4"/>
        <v/>
      </c>
      <c r="E246" s="1" t="s">
        <v>33</v>
      </c>
      <c r="F246" s="1" t="s">
        <v>28</v>
      </c>
      <c r="G246" s="1" t="s">
        <v>59</v>
      </c>
      <c r="H246" s="1">
        <v>11</v>
      </c>
      <c r="I246" s="1">
        <v>10</v>
      </c>
      <c r="J246" s="1">
        <v>6</v>
      </c>
      <c r="K246" s="6"/>
      <c r="L246" s="2">
        <v>17463</v>
      </c>
    </row>
    <row r="247" spans="1:12" ht="15.75" customHeight="1" x14ac:dyDescent="0.2">
      <c r="A247" s="7">
        <v>46276</v>
      </c>
      <c r="B247" s="1">
        <v>4</v>
      </c>
      <c r="C247" s="1" t="s">
        <v>40</v>
      </c>
      <c r="D247" s="1" t="str">
        <f t="shared" si="4"/>
        <v/>
      </c>
      <c r="E247" s="1" t="s">
        <v>33</v>
      </c>
      <c r="F247" s="1" t="s">
        <v>30</v>
      </c>
      <c r="G247" s="1" t="s">
        <v>115</v>
      </c>
      <c r="H247" s="1">
        <v>2</v>
      </c>
      <c r="I247" s="1">
        <v>16</v>
      </c>
      <c r="J247" s="1">
        <v>12</v>
      </c>
      <c r="K247" s="6"/>
      <c r="L247" s="2">
        <v>9052</v>
      </c>
    </row>
    <row r="248" spans="1:12" ht="15.75" customHeight="1" x14ac:dyDescent="0.2">
      <c r="A248" s="7">
        <v>46276</v>
      </c>
      <c r="B248" s="1">
        <v>4</v>
      </c>
      <c r="C248" s="1" t="s">
        <v>56</v>
      </c>
      <c r="D248" s="1" t="str">
        <f t="shared" si="4"/>
        <v/>
      </c>
      <c r="E248" s="1" t="s">
        <v>15</v>
      </c>
      <c r="F248" s="1" t="s">
        <v>16</v>
      </c>
      <c r="G248" s="1" t="s">
        <v>124</v>
      </c>
      <c r="H248" s="1">
        <v>3</v>
      </c>
      <c r="I248" s="1">
        <v>2</v>
      </c>
      <c r="J248" s="1">
        <v>9</v>
      </c>
      <c r="K248" s="6"/>
      <c r="L248" s="2">
        <v>9084</v>
      </c>
    </row>
    <row r="249" spans="1:12" ht="15.75" customHeight="1" x14ac:dyDescent="0.2">
      <c r="A249" s="7">
        <v>46276</v>
      </c>
      <c r="B249" s="1">
        <v>4</v>
      </c>
      <c r="C249" s="1" t="s">
        <v>35</v>
      </c>
      <c r="D249" s="1" t="str">
        <f t="shared" si="4"/>
        <v/>
      </c>
      <c r="E249" s="1" t="s">
        <v>15</v>
      </c>
      <c r="F249" s="1" t="s">
        <v>22</v>
      </c>
      <c r="G249" s="1" t="s">
        <v>125</v>
      </c>
      <c r="H249" s="1">
        <v>16</v>
      </c>
      <c r="I249" s="1">
        <v>5</v>
      </c>
      <c r="J249" s="1">
        <v>18</v>
      </c>
      <c r="K249" s="6"/>
      <c r="L249" s="2">
        <v>16514</v>
      </c>
    </row>
    <row r="250" spans="1:12" ht="15.75" customHeight="1" x14ac:dyDescent="0.2">
      <c r="A250" s="7">
        <v>46276</v>
      </c>
      <c r="B250" s="1">
        <v>4</v>
      </c>
      <c r="C250" s="1" t="s">
        <v>27</v>
      </c>
      <c r="D250" s="1" t="str">
        <f t="shared" si="4"/>
        <v/>
      </c>
      <c r="E250" s="1" t="s">
        <v>15</v>
      </c>
      <c r="F250" s="1" t="s">
        <v>18</v>
      </c>
      <c r="G250" s="1" t="s">
        <v>87</v>
      </c>
      <c r="H250" s="1">
        <v>12</v>
      </c>
      <c r="I250" s="1">
        <v>4</v>
      </c>
      <c r="J250" s="1">
        <v>11</v>
      </c>
      <c r="K250" s="6"/>
      <c r="L250" s="2">
        <v>1926</v>
      </c>
    </row>
    <row r="251" spans="1:12" ht="15.75" customHeight="1" x14ac:dyDescent="0.2">
      <c r="A251" s="7">
        <v>46276</v>
      </c>
      <c r="B251" s="1">
        <v>4</v>
      </c>
      <c r="C251" s="1" t="s">
        <v>51</v>
      </c>
      <c r="D251" s="1" t="str">
        <f t="shared" si="4"/>
        <v/>
      </c>
      <c r="E251" s="1" t="s">
        <v>15</v>
      </c>
      <c r="F251" s="1" t="s">
        <v>28</v>
      </c>
      <c r="G251" s="1" t="s">
        <v>92</v>
      </c>
      <c r="H251" s="1">
        <v>19</v>
      </c>
      <c r="I251" s="1">
        <v>3</v>
      </c>
      <c r="J251" s="1">
        <v>21</v>
      </c>
      <c r="K251" s="6"/>
      <c r="L251" s="2">
        <v>20322</v>
      </c>
    </row>
    <row r="252" spans="1:12" ht="15.75" customHeight="1" x14ac:dyDescent="0.2">
      <c r="A252" s="7">
        <v>46276</v>
      </c>
      <c r="B252" s="1">
        <v>4</v>
      </c>
      <c r="C252" s="1" t="s">
        <v>20</v>
      </c>
      <c r="D252" s="1" t="str">
        <f t="shared" si="4"/>
        <v/>
      </c>
      <c r="E252" s="1" t="s">
        <v>15</v>
      </c>
      <c r="F252" s="1" t="s">
        <v>30</v>
      </c>
      <c r="G252" s="1" t="s">
        <v>60</v>
      </c>
      <c r="H252" s="1">
        <v>5</v>
      </c>
      <c r="I252" s="1">
        <v>8</v>
      </c>
      <c r="J252" s="1">
        <v>27</v>
      </c>
      <c r="K252" s="6"/>
      <c r="L252" s="2">
        <v>10705</v>
      </c>
    </row>
    <row r="253" spans="1:12" ht="15.75" customHeight="1" x14ac:dyDescent="0.2">
      <c r="A253" s="7">
        <v>46276</v>
      </c>
      <c r="B253" s="1">
        <v>5</v>
      </c>
      <c r="C253" s="1" t="s">
        <v>42</v>
      </c>
      <c r="D253" s="1" t="str">
        <f t="shared" si="4"/>
        <v/>
      </c>
      <c r="E253" s="1" t="s">
        <v>15</v>
      </c>
      <c r="F253" s="1" t="s">
        <v>16</v>
      </c>
      <c r="G253" s="1" t="s">
        <v>126</v>
      </c>
      <c r="H253" s="1">
        <v>7</v>
      </c>
      <c r="I253" s="1">
        <v>8</v>
      </c>
      <c r="J253" s="1">
        <v>7</v>
      </c>
      <c r="K253" s="2">
        <v>24415</v>
      </c>
      <c r="L253" s="2">
        <v>11861</v>
      </c>
    </row>
    <row r="254" spans="1:12" ht="15.75" customHeight="1" x14ac:dyDescent="0.2">
      <c r="A254" s="7">
        <v>46276</v>
      </c>
      <c r="B254" s="1">
        <v>5</v>
      </c>
      <c r="C254" s="1" t="s">
        <v>44</v>
      </c>
      <c r="D254" s="1" t="str">
        <f t="shared" si="4"/>
        <v/>
      </c>
      <c r="E254" s="1" t="s">
        <v>15</v>
      </c>
      <c r="F254" s="1" t="s">
        <v>22</v>
      </c>
      <c r="G254" s="1" t="s">
        <v>127</v>
      </c>
      <c r="H254" s="1">
        <v>5</v>
      </c>
      <c r="I254" s="1">
        <v>9</v>
      </c>
      <c r="J254" s="1">
        <v>23</v>
      </c>
      <c r="K254" s="2">
        <v>20563</v>
      </c>
      <c r="L254" s="2">
        <v>12852</v>
      </c>
    </row>
    <row r="255" spans="1:12" ht="15.75" customHeight="1" x14ac:dyDescent="0.2">
      <c r="A255" s="7">
        <v>46276</v>
      </c>
      <c r="B255" s="1">
        <v>5</v>
      </c>
      <c r="C255" s="1" t="s">
        <v>14</v>
      </c>
      <c r="D255" s="1" t="str">
        <f t="shared" si="4"/>
        <v/>
      </c>
      <c r="E255" s="1" t="s">
        <v>15</v>
      </c>
      <c r="F255" s="1" t="s">
        <v>18</v>
      </c>
      <c r="G255" s="1" t="s">
        <v>19</v>
      </c>
      <c r="H255" s="1">
        <v>10</v>
      </c>
      <c r="I255" s="1">
        <v>5</v>
      </c>
      <c r="J255" s="1">
        <v>7</v>
      </c>
      <c r="K255" s="2">
        <v>44343</v>
      </c>
      <c r="L255" s="2">
        <v>15648</v>
      </c>
    </row>
    <row r="256" spans="1:12" ht="15.75" customHeight="1" x14ac:dyDescent="0.2">
      <c r="A256" s="7">
        <v>46276</v>
      </c>
      <c r="B256" s="1">
        <v>5</v>
      </c>
      <c r="C256" s="1" t="s">
        <v>38</v>
      </c>
      <c r="D256" s="1" t="str">
        <f t="shared" si="4"/>
        <v/>
      </c>
      <c r="E256" s="1" t="s">
        <v>15</v>
      </c>
      <c r="F256" s="1" t="s">
        <v>28</v>
      </c>
      <c r="G256" s="1" t="s">
        <v>80</v>
      </c>
      <c r="H256" s="1">
        <v>14</v>
      </c>
      <c r="I256" s="1">
        <v>3</v>
      </c>
      <c r="J256" s="1">
        <v>11</v>
      </c>
      <c r="K256" s="2">
        <v>51847</v>
      </c>
      <c r="L256" s="2">
        <v>18334</v>
      </c>
    </row>
    <row r="257" spans="1:12" ht="15.75" customHeight="1" x14ac:dyDescent="0.2">
      <c r="A257" s="7">
        <v>46276</v>
      </c>
      <c r="B257" s="1">
        <v>5</v>
      </c>
      <c r="C257" s="1" t="s">
        <v>40</v>
      </c>
      <c r="D257" s="1" t="str">
        <f t="shared" si="4"/>
        <v/>
      </c>
      <c r="E257" s="1" t="s">
        <v>15</v>
      </c>
      <c r="F257" s="1" t="s">
        <v>30</v>
      </c>
      <c r="G257" s="1" t="s">
        <v>60</v>
      </c>
      <c r="H257" s="1">
        <v>4</v>
      </c>
      <c r="I257" s="1">
        <v>7</v>
      </c>
      <c r="J257" s="1">
        <v>22</v>
      </c>
      <c r="K257" s="2">
        <v>28437</v>
      </c>
      <c r="L257" s="2">
        <v>10626</v>
      </c>
    </row>
    <row r="258" spans="1:12" ht="15.75" customHeight="1" x14ac:dyDescent="0.2">
      <c r="A258" s="7">
        <v>46276</v>
      </c>
      <c r="B258" s="1">
        <v>5</v>
      </c>
      <c r="C258" s="1" t="s">
        <v>56</v>
      </c>
      <c r="D258" s="1" t="str">
        <f t="shared" si="4"/>
        <v/>
      </c>
      <c r="E258" s="1" t="s">
        <v>33</v>
      </c>
      <c r="F258" s="1" t="s">
        <v>16</v>
      </c>
      <c r="G258" s="1" t="s">
        <v>61</v>
      </c>
      <c r="H258" s="1">
        <v>4</v>
      </c>
      <c r="I258" s="1">
        <v>4</v>
      </c>
      <c r="J258" s="1">
        <v>10</v>
      </c>
      <c r="K258" s="2">
        <v>22251</v>
      </c>
      <c r="L258" s="2">
        <v>10330</v>
      </c>
    </row>
    <row r="259" spans="1:12" ht="15.75" customHeight="1" x14ac:dyDescent="0.2">
      <c r="A259" s="7">
        <v>46276</v>
      </c>
      <c r="B259" s="1">
        <v>5</v>
      </c>
      <c r="C259" s="1" t="s">
        <v>35</v>
      </c>
      <c r="D259" s="1" t="str">
        <f t="shared" si="4"/>
        <v/>
      </c>
      <c r="E259" s="1" t="s">
        <v>33</v>
      </c>
      <c r="F259" s="1" t="s">
        <v>22</v>
      </c>
      <c r="G259" s="1" t="s">
        <v>83</v>
      </c>
      <c r="H259" s="1">
        <v>11</v>
      </c>
      <c r="I259" s="1">
        <v>9</v>
      </c>
      <c r="J259" s="1">
        <v>10</v>
      </c>
      <c r="K259" s="2">
        <v>14273</v>
      </c>
      <c r="L259" s="2">
        <v>14151</v>
      </c>
    </row>
    <row r="260" spans="1:12" ht="15.75" customHeight="1" x14ac:dyDescent="0.2">
      <c r="A260" s="7">
        <v>46276</v>
      </c>
      <c r="B260" s="1">
        <v>5</v>
      </c>
      <c r="C260" s="1" t="s">
        <v>27</v>
      </c>
      <c r="D260" s="1" t="str">
        <f t="shared" si="4"/>
        <v/>
      </c>
      <c r="E260" s="1" t="s">
        <v>33</v>
      </c>
      <c r="F260" s="1" t="s">
        <v>18</v>
      </c>
      <c r="G260" s="1" t="s">
        <v>128</v>
      </c>
      <c r="H260" s="1">
        <v>3</v>
      </c>
      <c r="I260" s="1">
        <v>10</v>
      </c>
      <c r="J260" s="1">
        <v>11</v>
      </c>
      <c r="K260" s="2">
        <v>21282</v>
      </c>
      <c r="L260" s="2">
        <v>10404</v>
      </c>
    </row>
    <row r="261" spans="1:12" ht="15.75" customHeight="1" x14ac:dyDescent="0.2">
      <c r="A261" s="7">
        <v>46276</v>
      </c>
      <c r="B261" s="1">
        <v>5</v>
      </c>
      <c r="C261" s="1" t="s">
        <v>51</v>
      </c>
      <c r="D261" s="1" t="str">
        <f t="shared" si="4"/>
        <v/>
      </c>
      <c r="E261" s="1" t="s">
        <v>33</v>
      </c>
      <c r="F261" s="1" t="s">
        <v>28</v>
      </c>
      <c r="G261" s="1" t="s">
        <v>129</v>
      </c>
      <c r="H261" s="1">
        <v>8</v>
      </c>
      <c r="I261" s="1">
        <v>7</v>
      </c>
      <c r="J261" s="1">
        <v>8</v>
      </c>
      <c r="K261" s="2">
        <v>36228</v>
      </c>
      <c r="L261" s="2">
        <v>14637</v>
      </c>
    </row>
    <row r="262" spans="1:12" ht="15.75" customHeight="1" x14ac:dyDescent="0.2">
      <c r="A262" s="7">
        <v>46276</v>
      </c>
      <c r="B262" s="1">
        <v>5</v>
      </c>
      <c r="C262" s="1" t="s">
        <v>20</v>
      </c>
      <c r="D262" s="1" t="str">
        <f t="shared" si="4"/>
        <v/>
      </c>
      <c r="E262" s="1" t="s">
        <v>33</v>
      </c>
      <c r="F262" s="1" t="s">
        <v>30</v>
      </c>
      <c r="G262" s="1" t="s">
        <v>41</v>
      </c>
      <c r="H262" s="1">
        <v>6</v>
      </c>
      <c r="I262" s="1">
        <v>10</v>
      </c>
      <c r="J262" s="1">
        <v>16</v>
      </c>
      <c r="K262" s="2">
        <v>20778</v>
      </c>
      <c r="L262" s="2">
        <v>10466</v>
      </c>
    </row>
  </sheetData>
  <autoFilter ref="A2:L2" xr:uid="{00000000-0001-0000-0100-000000000000}">
    <sortState xmlns:xlrd2="http://schemas.microsoft.com/office/spreadsheetml/2017/richdata2" ref="A3:L262">
      <sortCondition ref="A2"/>
    </sortState>
  </autoFilter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시트1</vt:lpstr>
      <vt:lpstr>시트2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2026-09-15T07:11:16Z</dcterms:modified>
</cp:coreProperties>
</file>