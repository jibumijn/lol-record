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<sst xmlns="http://schemas.openxmlformats.org/spreadsheetml/2006/main" count="1168" uniqueCount="131">
  <si>
    <t>날짜</t>
  </si>
  <si>
    <t>세트</t>
  </si>
  <si>
    <t>이름</t>
  </si>
  <si>
    <t>결과</t>
  </si>
  <si>
    <t>라인</t>
  </si>
  <si>
    <t>챔피언</t>
  </si>
  <si>
    <t>킬</t>
  </si>
  <si>
    <t>데스</t>
  </si>
  <si>
    <t>어시스트</t>
  </si>
  <si>
    <t>딜량</t>
  </si>
  <si>
    <t>골드</t>
  </si>
  <si>
    <t>전체승패</t>
  </si>
  <si>
    <t>라인별승률</t>
  </si>
  <si>
    <t>라인챔피언별승률</t>
  </si>
  <si>
    <t>챔프</t>
  </si>
  <si>
    <t>박상호</t>
  </si>
  <si>
    <t>승</t>
  </si>
  <si>
    <t>탑</t>
  </si>
  <si>
    <t>요네</t>
  </si>
  <si>
    <t>미드</t>
  </si>
  <si>
    <t>야스오</t>
  </si>
  <si>
    <t>이세환</t>
  </si>
  <si>
    <t>지범진</t>
  </si>
  <si>
    <t>정글</t>
  </si>
  <si>
    <t>말파이트</t>
  </si>
  <si>
    <t>신드라</t>
  </si>
  <si>
    <t>신동혁</t>
  </si>
  <si>
    <t>피즈</t>
  </si>
  <si>
    <t>정용운</t>
  </si>
  <si>
    <t>원딜</t>
  </si>
  <si>
    <t>카이사</t>
  </si>
  <si>
    <t>서폿</t>
  </si>
  <si>
    <t>파이크</t>
  </si>
  <si>
    <t>임성빈</t>
  </si>
  <si>
    <t>패</t>
  </si>
  <si>
    <t>문도박사</t>
  </si>
  <si>
    <t>심재현</t>
  </si>
  <si>
    <t>사일러스</t>
  </si>
  <si>
    <t>김응민</t>
  </si>
  <si>
    <t>이창호</t>
  </si>
  <si>
    <t>시비르</t>
  </si>
  <si>
    <t>김현수</t>
  </si>
  <si>
    <t>카르마</t>
  </si>
  <si>
    <t>이진건</t>
  </si>
  <si>
    <t>워윅</t>
  </si>
  <si>
    <t>이석구</t>
  </si>
  <si>
    <t>허지녕</t>
  </si>
  <si>
    <t>코르키</t>
  </si>
  <si>
    <t>장동신</t>
  </si>
  <si>
    <t>자이라</t>
  </si>
  <si>
    <t>신현우</t>
  </si>
  <si>
    <t>갈리오</t>
  </si>
  <si>
    <t>천규환</t>
  </si>
  <si>
    <t>브라이어</t>
  </si>
  <si>
    <t>배승진</t>
  </si>
  <si>
    <t>김규철</t>
  </si>
  <si>
    <t>유나라</t>
  </si>
  <si>
    <t>박원준</t>
  </si>
  <si>
    <t>쓰레쉬</t>
  </si>
  <si>
    <t>김광유</t>
  </si>
  <si>
    <t>미스포츈</t>
  </si>
  <si>
    <t>모르가나</t>
  </si>
  <si>
    <t>사이온</t>
  </si>
  <si>
    <t>자르반4세</t>
  </si>
  <si>
    <t>오리아나</t>
  </si>
  <si>
    <t>애쉬</t>
  </si>
  <si>
    <t>브라움</t>
  </si>
  <si>
    <t>쉔</t>
  </si>
  <si>
    <t>아무무</t>
  </si>
  <si>
    <t>리신</t>
  </si>
  <si>
    <t>루시안</t>
  </si>
  <si>
    <t>나미</t>
  </si>
  <si>
    <t>레넥톤</t>
  </si>
  <si>
    <t>다리우스</t>
  </si>
  <si>
    <t>제이스</t>
  </si>
  <si>
    <t>자야</t>
  </si>
  <si>
    <t>라칸</t>
  </si>
  <si>
    <t>럼블</t>
  </si>
  <si>
    <t>오공</t>
  </si>
  <si>
    <t>티모</t>
  </si>
  <si>
    <t>누누와윌럼프</t>
  </si>
  <si>
    <t>징크스</t>
  </si>
  <si>
    <t>노틸러스</t>
  </si>
  <si>
    <t>트위스티드페이트</t>
  </si>
  <si>
    <t>바이</t>
  </si>
  <si>
    <t>이즈리얼</t>
  </si>
  <si>
    <t>세주아니</t>
  </si>
  <si>
    <t>룰루</t>
  </si>
  <si>
    <t>초가스</t>
  </si>
  <si>
    <t>레오나</t>
  </si>
  <si>
    <t>케일</t>
  </si>
  <si>
    <t>트위치</t>
  </si>
  <si>
    <t>그웬</t>
  </si>
  <si>
    <t>케이틀린</t>
  </si>
  <si>
    <t>그레이브즈</t>
  </si>
  <si>
    <t>헤카림</t>
  </si>
  <si>
    <t>트리스타나</t>
  </si>
  <si>
    <t>질리언</t>
  </si>
  <si>
    <t>볼리베어</t>
  </si>
  <si>
    <t>뽀삐</t>
  </si>
  <si>
    <t>판테온</t>
  </si>
  <si>
    <t>애니비아</t>
  </si>
  <si>
    <t>오른</t>
  </si>
  <si>
    <t>멜</t>
  </si>
  <si>
    <t>베인</t>
  </si>
  <si>
    <t>럭스</t>
  </si>
  <si>
    <t>잭스</t>
  </si>
  <si>
    <t>비에고</t>
  </si>
  <si>
    <t>코그모</t>
  </si>
  <si>
    <t>빅토르</t>
  </si>
  <si>
    <t>가렌</t>
  </si>
  <si>
    <t>갱플랭크</t>
  </si>
  <si>
    <t>라이즈</t>
  </si>
  <si>
    <t>아펠리오스</t>
  </si>
  <si>
    <t>릴리아</t>
  </si>
  <si>
    <t>녹턴</t>
  </si>
  <si>
    <t>제라스</t>
  </si>
  <si>
    <t>샤코</t>
  </si>
  <si>
    <t>나서스</t>
  </si>
  <si>
    <t>블리츠클랭크</t>
  </si>
  <si>
    <t>카사딘</t>
  </si>
  <si>
    <t>킨드레드</t>
  </si>
  <si>
    <t>칼리스타</t>
  </si>
  <si>
    <t>레나타글라스크</t>
  </si>
  <si>
    <t>자르반</t>
  </si>
  <si>
    <t>그라가스</t>
  </si>
  <si>
    <t>에코</t>
  </si>
  <si>
    <t>케넨</t>
  </si>
  <si>
    <t>람머스</t>
  </si>
  <si>
    <t>리산드라</t>
  </si>
  <si>
    <t>제리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</si>
</sst>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"/>
    <numFmt numFmtId="165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1" fillId="2" fontId="1" numFmtId="0" xfId="0" applyBorder="1" applyFill="1" applyFont="1"/>
    <xf borderId="0" fillId="0" fontId="1" numFmtId="3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63"/>
    <col customWidth="1" min="12" max="12" width="6.25"/>
    <col customWidth="1" min="13" max="13" width="11.5"/>
    <col customWidth="1" hidden="1" min="14" max="14" width="25.88"/>
    <col customWidth="1" min="15" max="15" width="11.5"/>
    <col hidden="1" min="16" max="16" width="12.63"/>
    <col customWidth="1" hidden="1" min="17" max="17" width="1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/>
      <c r="M1" s="1"/>
      <c r="N1" s="1"/>
      <c r="O1" s="1" t="s">
        <v>11</v>
      </c>
      <c r="P1" s="1" t="s">
        <v>12</v>
      </c>
      <c r="Q1" s="1" t="s">
        <v>13</v>
      </c>
      <c r="R1" s="1" t="s">
        <v>2</v>
      </c>
      <c r="S1" s="1" t="s">
        <v>4</v>
      </c>
      <c r="T1" s="1" t="s">
        <v>14</v>
      </c>
      <c r="Z1" s="1" t="s">
        <v>2</v>
      </c>
      <c r="AA1" s="1" t="s">
        <v>4</v>
      </c>
      <c r="AB1" s="1" t="s">
        <v>14</v>
      </c>
      <c r="AE1" s="1" t="s">
        <v>5</v>
      </c>
    </row>
    <row r="2">
      <c r="A2" s="3">
        <v>46026.0</v>
      </c>
      <c r="B2" s="1">
        <v>1.0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10.0</v>
      </c>
      <c r="H2" s="1">
        <v>4.0</v>
      </c>
      <c r="I2" s="1">
        <v>9.0</v>
      </c>
      <c r="J2" s="2">
        <v>57894.0</v>
      </c>
      <c r="K2" s="2">
        <v>17764.0</v>
      </c>
      <c r="L2" s="1" t="s">
        <v>19</v>
      </c>
      <c r="M2" s="4" t="str">
        <f>COUNTIFS($C$2:$C1000, L3, $E$2:$E1000, L2, $D$2:$D1000, "승", $N$2:$N1000, "*"&amp;L2&amp;L4&amp;"*") &amp; "승 / " &amp; COUNTIFS($C$2:$C1000, L3, $E$2:$E1000, L2, $D$2:$D1000, "패", $N$2:$N1000, "*"&amp;L2&amp;L4&amp;"*") &amp; "패"</f>
        <v>10승 / 3패</v>
      </c>
      <c r="N2" s="4" t="str">
        <f>IFERROR(__xludf.DUMMYFUNCTION("TEXTJOIN("","", TRUE, FILTER($E$2:$E1000 &amp; $C$2:$C1000, $A$2:$A1000=A2, $B$2:$B1000=B2, $D$2:$D1000&lt;&gt;D2))"),"탑임성빈,정글심재현,미드김응민,원딜이창호,서폿김현수")</f>
        <v>탑임성빈,정글심재현,미드김응민,원딜이창호,서폿김현수</v>
      </c>
      <c r="O2" s="4" t="str">
        <f t="shared" ref="O2:O22" si="1">LET(
  w,COUNTIFS($C:$C,$R2,$D:$D,"승"),
  l,COUNTIFS($C:$C,$R2,$D:$D,"패"),
  IF(w+l=0,"","승 "&amp;w&amp;" / 패 "&amp;l)
)</f>
        <v>승 19 / 패 7</v>
      </c>
      <c r="P2" s="5" t="str">
        <f t="shared" ref="P2:P18" si="2">LET(
  w,COUNTIFS($C:$C,$R2,$E:$E,$S2,$D:$D,"승"),
  l,COUNTIFS($C:$C,$R2,$E:$E,$S2,$D:$D,"패"),
  IF(w+l=0,"","승 "&amp;w&amp;" / 패 "&amp;l))</f>
        <v>승 18 / 패 7</v>
      </c>
      <c r="Q2" s="4" t="str">
        <f t="shared" ref="Q2:Q16" si="3">LET(
  w,COUNTIFS($C:$C,$R2,$E:$E,$S2,$F:$F,$T2,$D:$D,"승"),
  l,COUNTIFS($C:$C,$R2,$E:$E,$S2,$F:$F,$T2,$D:$D,"패"),
  IF(w+l=0,"","승 "&amp;w&amp;" / 패 "&amp;l)
)</f>
        <v>승 4 / 패 0</v>
      </c>
      <c r="R2" s="1" t="s">
        <v>15</v>
      </c>
      <c r="S2" s="1" t="s">
        <v>19</v>
      </c>
      <c r="T2" s="1" t="s">
        <v>20</v>
      </c>
      <c r="U2" s="1" t="str">
        <f>"승 " &amp; COUNTIFS($C:$C, R2, $E:$E, S2, $F:$F, T2, $D:$D, "승") &amp; " / 패 " &amp; COUNTIFS($C:$C, R2, $E:$E, S2, $F:$F, T2, $D:$D, "패")</f>
        <v>승 4 / 패 0</v>
      </c>
      <c r="Z2" s="1" t="s">
        <v>21</v>
      </c>
      <c r="AA2" s="1" t="s">
        <v>19</v>
      </c>
      <c r="AB2" s="1" t="s">
        <v>20</v>
      </c>
      <c r="AC2" s="4" t="str">
        <f t="array" ref="AC2:AC22">UNIQUE(C2:C1000)</f>
        <v>박상호</v>
      </c>
      <c r="AD2" s="4" t="str">
        <f>IFERROR(__xludf.DUMMYFUNCTION("UNIQUE(FILTER(E2:E1000, C2:C1000=R2))"),"탑")</f>
        <v>탑</v>
      </c>
      <c r="AE2" s="4" t="str">
        <f>IFERROR(__xludf.DUMMYFUNCTION("UNIQUE(
  FILTER(
    F2:F1000,
    C2:C1000 = $R$2,
    E2:E1000 = $S$2
  )
)"),"요네")</f>
        <v>요네</v>
      </c>
    </row>
    <row r="3">
      <c r="A3" s="3">
        <v>46026.0</v>
      </c>
      <c r="B3" s="1">
        <v>1.0</v>
      </c>
      <c r="C3" s="1" t="s">
        <v>22</v>
      </c>
      <c r="D3" s="1" t="s">
        <v>16</v>
      </c>
      <c r="E3" s="1" t="s">
        <v>23</v>
      </c>
      <c r="F3" s="1" t="s">
        <v>24</v>
      </c>
      <c r="G3" s="1">
        <v>7.0</v>
      </c>
      <c r="H3" s="1">
        <v>2.0</v>
      </c>
      <c r="I3" s="1">
        <v>14.0</v>
      </c>
      <c r="J3" s="2">
        <v>198862.0</v>
      </c>
      <c r="K3" s="2">
        <v>15980.0</v>
      </c>
      <c r="L3" s="1" t="s">
        <v>15</v>
      </c>
      <c r="N3" s="4" t="str">
        <f>IFERROR(__xludf.DUMMYFUNCTION("TEXTJOIN("","", TRUE, FILTER($E$2:$E1000 &amp; $C$2:$C1000, $A$2:$A1000=A3, $B$2:$B1000=B3, $D$2:$D1000&lt;&gt;D3))"),"탑임성빈,정글심재현,미드김응민,원딜이창호,서폿김현수")</f>
        <v>탑임성빈,정글심재현,미드김응민,원딜이창호,서폿김현수</v>
      </c>
      <c r="O3" s="4" t="str">
        <f t="shared" si="1"/>
        <v>승 13 / 패 8</v>
      </c>
      <c r="P3" s="5" t="str">
        <f t="shared" si="2"/>
        <v/>
      </c>
      <c r="Q3" s="4" t="str">
        <f t="shared" si="3"/>
        <v/>
      </c>
      <c r="R3" s="1" t="s">
        <v>22</v>
      </c>
      <c r="S3" s="4"/>
      <c r="T3" s="4"/>
      <c r="Z3" s="1" t="s">
        <v>22</v>
      </c>
      <c r="AA3" s="1" t="s">
        <v>19</v>
      </c>
      <c r="AB3" s="1" t="s">
        <v>25</v>
      </c>
      <c r="AC3" s="4" t="s">
        <v>22</v>
      </c>
      <c r="AD3" s="4" t="str">
        <f>IFERROR(__xludf.DUMMYFUNCTION("""COMPUTED_VALUE"""),"미드")</f>
        <v>미드</v>
      </c>
      <c r="AE3" s="4" t="str">
        <f>IFERROR(__xludf.DUMMYFUNCTION("""COMPUTED_VALUE"""),"신드라")</f>
        <v>신드라</v>
      </c>
    </row>
    <row r="4">
      <c r="A4" s="3">
        <v>46026.0</v>
      </c>
      <c r="B4" s="1">
        <v>1.0</v>
      </c>
      <c r="C4" s="1" t="s">
        <v>26</v>
      </c>
      <c r="D4" s="1" t="s">
        <v>16</v>
      </c>
      <c r="E4" s="1" t="s">
        <v>19</v>
      </c>
      <c r="F4" s="1" t="s">
        <v>27</v>
      </c>
      <c r="G4" s="1">
        <v>11.0</v>
      </c>
      <c r="H4" s="1">
        <v>4.0</v>
      </c>
      <c r="I4" s="1">
        <v>8.0</v>
      </c>
      <c r="J4" s="2">
        <v>35874.0</v>
      </c>
      <c r="K4" s="2">
        <v>16298.0</v>
      </c>
      <c r="L4" s="1" t="s">
        <v>28</v>
      </c>
      <c r="N4" s="4" t="str">
        <f>IFERROR(__xludf.DUMMYFUNCTION("TEXTJOIN("","", TRUE, FILTER($E$2:$E1000 &amp; $C$2:$C1000, $A$2:$A1000=A4, $B$2:$B1000=B4, $D$2:$D1000&lt;&gt;D4))"),"탑임성빈,정글심재현,미드김응민,원딜이창호,서폿김현수")</f>
        <v>탑임성빈,정글심재현,미드김응민,원딜이창호,서폿김현수</v>
      </c>
      <c r="O4" s="4" t="str">
        <f t="shared" si="1"/>
        <v>승 4 / 패 2</v>
      </c>
      <c r="P4" s="5" t="str">
        <f t="shared" si="2"/>
        <v/>
      </c>
      <c r="Q4" s="4" t="str">
        <f t="shared" si="3"/>
        <v/>
      </c>
      <c r="R4" s="1" t="s">
        <v>26</v>
      </c>
      <c r="S4" s="4"/>
      <c r="T4" s="4"/>
      <c r="Z4" s="1" t="s">
        <v>15</v>
      </c>
      <c r="AA4" s="1" t="s">
        <v>17</v>
      </c>
      <c r="AB4" s="1" t="s">
        <v>20</v>
      </c>
      <c r="AC4" s="4" t="s">
        <v>26</v>
      </c>
      <c r="AE4" s="4" t="str">
        <f>IFERROR(__xludf.DUMMYFUNCTION("""COMPUTED_VALUE"""),"트위스티드페이트")</f>
        <v>트위스티드페이트</v>
      </c>
    </row>
    <row r="5">
      <c r="A5" s="3">
        <v>46026.0</v>
      </c>
      <c r="B5" s="1">
        <v>1.0</v>
      </c>
      <c r="C5" s="1" t="s">
        <v>28</v>
      </c>
      <c r="D5" s="1" t="s">
        <v>16</v>
      </c>
      <c r="E5" s="1" t="s">
        <v>29</v>
      </c>
      <c r="F5" s="1" t="s">
        <v>30</v>
      </c>
      <c r="G5" s="1">
        <v>4.0</v>
      </c>
      <c r="H5" s="1">
        <v>5.0</v>
      </c>
      <c r="I5" s="1">
        <v>7.0</v>
      </c>
      <c r="J5" s="2">
        <v>21835.0</v>
      </c>
      <c r="K5" s="2">
        <v>14510.0</v>
      </c>
      <c r="L5" s="1"/>
      <c r="N5" s="4" t="str">
        <f>IFERROR(__xludf.DUMMYFUNCTION("TEXTJOIN("","", TRUE, FILTER($E$2:$E1000 &amp; $C$2:$C1000, $A$2:$A1000=A5, $B$2:$B1000=B5, $D$2:$D1000&lt;&gt;D5))"),"탑임성빈,정글심재현,미드김응민,원딜이창호,서폿김현수")</f>
        <v>탑임성빈,정글심재현,미드김응민,원딜이창호,서폿김현수</v>
      </c>
      <c r="O5" s="4" t="str">
        <f t="shared" si="1"/>
        <v>승 9 / 패 17</v>
      </c>
      <c r="P5" s="5" t="str">
        <f t="shared" si="2"/>
        <v/>
      </c>
      <c r="Q5" s="4" t="str">
        <f t="shared" si="3"/>
        <v/>
      </c>
      <c r="R5" s="1" t="s">
        <v>28</v>
      </c>
      <c r="S5" s="1" t="s">
        <v>31</v>
      </c>
      <c r="T5" s="1" t="s">
        <v>18</v>
      </c>
      <c r="Z5" s="1" t="s">
        <v>15</v>
      </c>
      <c r="AA5" s="1" t="s">
        <v>17</v>
      </c>
      <c r="AB5" s="1" t="s">
        <v>20</v>
      </c>
      <c r="AC5" s="4" t="s">
        <v>28</v>
      </c>
      <c r="AE5" s="4" t="str">
        <f>IFERROR(__xludf.DUMMYFUNCTION("""COMPUTED_VALUE"""),"야스오")</f>
        <v>야스오</v>
      </c>
    </row>
    <row r="6">
      <c r="A6" s="3">
        <v>46026.0</v>
      </c>
      <c r="B6" s="1">
        <v>1.0</v>
      </c>
      <c r="C6" s="1" t="s">
        <v>21</v>
      </c>
      <c r="D6" s="1" t="s">
        <v>16</v>
      </c>
      <c r="E6" s="1" t="s">
        <v>31</v>
      </c>
      <c r="F6" s="1" t="s">
        <v>32</v>
      </c>
      <c r="G6" s="1">
        <v>5.0</v>
      </c>
      <c r="H6" s="1">
        <v>7.0</v>
      </c>
      <c r="I6" s="1">
        <v>10.0</v>
      </c>
      <c r="J6" s="2">
        <v>11990.0</v>
      </c>
      <c r="K6" s="2">
        <v>11087.0</v>
      </c>
      <c r="L6" s="1"/>
      <c r="N6" s="4" t="str">
        <f>IFERROR(__xludf.DUMMYFUNCTION("TEXTJOIN("","", TRUE, FILTER($E$2:$E1000 &amp; $C$2:$C1000, $A$2:$A1000=A6, $B$2:$B1000=B6, $D$2:$D1000&lt;&gt;D6))"),"탑임성빈,정글심재현,미드김응민,원딜이창호,서폿김현수")</f>
        <v>탑임성빈,정글심재현,미드김응민,원딜이창호,서폿김현수</v>
      </c>
      <c r="O6" s="4" t="str">
        <f t="shared" si="1"/>
        <v>승 10 / 패 13</v>
      </c>
      <c r="P6" s="5" t="str">
        <f t="shared" si="2"/>
        <v/>
      </c>
      <c r="Q6" s="4" t="str">
        <f t="shared" si="3"/>
        <v/>
      </c>
      <c r="R6" s="1" t="s">
        <v>21</v>
      </c>
      <c r="S6" s="4"/>
      <c r="T6" s="4"/>
      <c r="Z6" s="1" t="s">
        <v>15</v>
      </c>
      <c r="AA6" s="1" t="s">
        <v>17</v>
      </c>
      <c r="AB6" s="1" t="s">
        <v>20</v>
      </c>
      <c r="AC6" s="4" t="s">
        <v>21</v>
      </c>
      <c r="AE6" s="4" t="str">
        <f>IFERROR(__xludf.DUMMYFUNCTION("""COMPUTED_VALUE"""),"자르반4세")</f>
        <v>자르반4세</v>
      </c>
    </row>
    <row r="7">
      <c r="A7" s="3">
        <v>46026.0</v>
      </c>
      <c r="B7" s="1">
        <v>1.0</v>
      </c>
      <c r="C7" s="1" t="s">
        <v>33</v>
      </c>
      <c r="D7" s="1" t="s">
        <v>34</v>
      </c>
      <c r="E7" s="1" t="s">
        <v>17</v>
      </c>
      <c r="F7" s="1" t="s">
        <v>35</v>
      </c>
      <c r="G7" s="1">
        <v>1.0</v>
      </c>
      <c r="H7" s="1">
        <v>6.0</v>
      </c>
      <c r="I7" s="1">
        <v>7.0</v>
      </c>
      <c r="J7" s="2">
        <v>19128.0</v>
      </c>
      <c r="K7" s="2">
        <v>11662.0</v>
      </c>
      <c r="L7" s="1"/>
      <c r="N7" s="4" t="str">
        <f>IFERROR(__xludf.DUMMYFUNCTION("TEXTJOIN("","", TRUE, FILTER($E$2:$E1000 &amp; $C$2:$C1000, $A$2:$A1000=A7, $B$2:$B1000=B7, $D$2:$D1000&lt;&gt;D7))"),"탑박상호,정글지범진,미드신동혁,원딜정용운,서폿이세환")</f>
        <v>탑박상호,정글지범진,미드신동혁,원딜정용운,서폿이세환</v>
      </c>
      <c r="O7" s="4" t="str">
        <f t="shared" si="1"/>
        <v>승 3 / 패 9</v>
      </c>
      <c r="P7" s="5" t="str">
        <f t="shared" si="2"/>
        <v/>
      </c>
      <c r="Q7" s="4" t="str">
        <f t="shared" si="3"/>
        <v/>
      </c>
      <c r="R7" s="1" t="s">
        <v>33</v>
      </c>
      <c r="S7" s="4"/>
      <c r="T7" s="4"/>
      <c r="Z7" s="1" t="s">
        <v>15</v>
      </c>
      <c r="AA7" s="1" t="s">
        <v>17</v>
      </c>
      <c r="AB7" s="1" t="s">
        <v>20</v>
      </c>
      <c r="AC7" s="4" t="s">
        <v>33</v>
      </c>
      <c r="AE7" s="4" t="str">
        <f>IFERROR(__xludf.DUMMYFUNCTION("""COMPUTED_VALUE"""),"사일러스")</f>
        <v>사일러스</v>
      </c>
    </row>
    <row r="8">
      <c r="A8" s="3">
        <v>46026.0</v>
      </c>
      <c r="B8" s="1">
        <v>1.0</v>
      </c>
      <c r="C8" s="1" t="s">
        <v>36</v>
      </c>
      <c r="D8" s="1" t="s">
        <v>34</v>
      </c>
      <c r="E8" s="1" t="s">
        <v>23</v>
      </c>
      <c r="F8" s="1" t="s">
        <v>37</v>
      </c>
      <c r="G8" s="1">
        <v>6.0</v>
      </c>
      <c r="H8" s="1">
        <v>10.0</v>
      </c>
      <c r="I8" s="1">
        <v>8.0</v>
      </c>
      <c r="J8" s="2">
        <v>18549.0</v>
      </c>
      <c r="K8" s="2">
        <v>12315.0</v>
      </c>
      <c r="L8" s="1"/>
      <c r="N8" s="4" t="str">
        <f>IFERROR(__xludf.DUMMYFUNCTION("TEXTJOIN("","", TRUE, FILTER($E$2:$E1000 &amp; $C$2:$C1000, $A$2:$A1000=A8, $B$2:$B1000=B8, $D$2:$D1000&lt;&gt;D8))"),"탑박상호,정글지범진,미드신동혁,원딜정용운,서폿이세환")</f>
        <v>탑박상호,정글지범진,미드신동혁,원딜정용운,서폿이세환</v>
      </c>
      <c r="O8" s="4" t="str">
        <f t="shared" si="1"/>
        <v>승 6 / 패 10</v>
      </c>
      <c r="P8" s="5" t="str">
        <f t="shared" si="2"/>
        <v/>
      </c>
      <c r="Q8" s="4" t="str">
        <f t="shared" si="3"/>
        <v/>
      </c>
      <c r="R8" s="1" t="s">
        <v>36</v>
      </c>
      <c r="S8" s="4"/>
      <c r="T8" s="4"/>
      <c r="Z8" s="1" t="s">
        <v>15</v>
      </c>
      <c r="AA8" s="1" t="s">
        <v>17</v>
      </c>
      <c r="AB8" s="1" t="s">
        <v>20</v>
      </c>
      <c r="AC8" s="4" t="s">
        <v>36</v>
      </c>
    </row>
    <row r="9">
      <c r="A9" s="3">
        <v>46026.0</v>
      </c>
      <c r="B9" s="1">
        <v>1.0</v>
      </c>
      <c r="C9" s="1" t="s">
        <v>38</v>
      </c>
      <c r="D9" s="1" t="s">
        <v>34</v>
      </c>
      <c r="E9" s="1" t="s">
        <v>19</v>
      </c>
      <c r="F9" s="1" t="s">
        <v>25</v>
      </c>
      <c r="G9" s="1">
        <v>7.0</v>
      </c>
      <c r="H9" s="1">
        <v>7.0</v>
      </c>
      <c r="I9" s="1">
        <v>7.0</v>
      </c>
      <c r="J9" s="2">
        <v>19883.0</v>
      </c>
      <c r="K9" s="2">
        <v>13155.0</v>
      </c>
      <c r="L9" s="1"/>
      <c r="N9" s="4" t="str">
        <f>IFERROR(__xludf.DUMMYFUNCTION("TEXTJOIN("","", TRUE, FILTER($E$2:$E1000 &amp; $C$2:$C1000, $A$2:$A1000=A9, $B$2:$B1000=B9, $D$2:$D1000&lt;&gt;D9))"),"탑박상호,정글지범진,미드신동혁,원딜정용운,서폿이세환")</f>
        <v>탑박상호,정글지범진,미드신동혁,원딜정용운,서폿이세환</v>
      </c>
      <c r="O9" s="4" t="str">
        <f t="shared" si="1"/>
        <v>승 9 / 패 9</v>
      </c>
      <c r="P9" s="5" t="str">
        <f t="shared" si="2"/>
        <v/>
      </c>
      <c r="Q9" s="4" t="str">
        <f t="shared" si="3"/>
        <v/>
      </c>
      <c r="R9" s="1" t="s">
        <v>38</v>
      </c>
      <c r="S9" s="4"/>
      <c r="T9" s="4"/>
      <c r="Z9" s="1" t="s">
        <v>15</v>
      </c>
      <c r="AA9" s="1" t="s">
        <v>17</v>
      </c>
      <c r="AB9" s="1" t="s">
        <v>20</v>
      </c>
      <c r="AC9" s="4" t="s">
        <v>38</v>
      </c>
    </row>
    <row r="10">
      <c r="A10" s="3">
        <v>46026.0</v>
      </c>
      <c r="B10" s="1">
        <v>1.0</v>
      </c>
      <c r="C10" s="1" t="s">
        <v>39</v>
      </c>
      <c r="D10" s="1" t="s">
        <v>34</v>
      </c>
      <c r="E10" s="1" t="s">
        <v>29</v>
      </c>
      <c r="F10" s="1" t="s">
        <v>40</v>
      </c>
      <c r="G10" s="1">
        <v>5.0</v>
      </c>
      <c r="H10" s="1">
        <v>4.0</v>
      </c>
      <c r="I10" s="1">
        <v>10.0</v>
      </c>
      <c r="J10" s="2">
        <v>22767.0</v>
      </c>
      <c r="K10" s="2">
        <v>15075.0</v>
      </c>
      <c r="L10" s="1"/>
      <c r="N10" s="4" t="str">
        <f>IFERROR(__xludf.DUMMYFUNCTION("TEXTJOIN("","", TRUE, FILTER($E$2:$E1000 &amp; $C$2:$C1000, $A$2:$A1000=A10, $B$2:$B1000=B10, $D$2:$D1000&lt;&gt;D10))"),"탑박상호,정글지범진,미드신동혁,원딜정용운,서폿이세환")</f>
        <v>탑박상호,정글지범진,미드신동혁,원딜정용운,서폿이세환</v>
      </c>
      <c r="O10" s="4" t="str">
        <f t="shared" si="1"/>
        <v>승 10 / 패 13</v>
      </c>
      <c r="P10" s="5" t="str">
        <f t="shared" si="2"/>
        <v/>
      </c>
      <c r="Q10" s="4" t="str">
        <f t="shared" si="3"/>
        <v/>
      </c>
      <c r="R10" s="1" t="s">
        <v>39</v>
      </c>
      <c r="S10" s="4"/>
      <c r="T10" s="4"/>
      <c r="Z10" s="1" t="s">
        <v>15</v>
      </c>
      <c r="AA10" s="1" t="s">
        <v>17</v>
      </c>
      <c r="AB10" s="1" t="s">
        <v>20</v>
      </c>
      <c r="AC10" s="4" t="s">
        <v>39</v>
      </c>
    </row>
    <row r="11">
      <c r="A11" s="3">
        <v>46026.0</v>
      </c>
      <c r="B11" s="1">
        <v>1.0</v>
      </c>
      <c r="C11" s="1" t="s">
        <v>41</v>
      </c>
      <c r="D11" s="1" t="s">
        <v>34</v>
      </c>
      <c r="E11" s="1" t="s">
        <v>31</v>
      </c>
      <c r="F11" s="1" t="s">
        <v>42</v>
      </c>
      <c r="G11" s="1">
        <v>3.0</v>
      </c>
      <c r="H11" s="1">
        <v>10.0</v>
      </c>
      <c r="I11" s="1">
        <v>13.0</v>
      </c>
      <c r="J11" s="2">
        <v>13368.0</v>
      </c>
      <c r="K11" s="2">
        <v>9564.0</v>
      </c>
      <c r="L11" s="1"/>
      <c r="N11" s="4" t="str">
        <f>IFERROR(__xludf.DUMMYFUNCTION("TEXTJOIN("","", TRUE, FILTER($E$2:$E1000 &amp; $C$2:$C1000, $A$2:$A1000=A11, $B$2:$B1000=B11, $D$2:$D1000&lt;&gt;D11))"),"탑박상호,정글지범진,미드신동혁,원딜정용운,서폿이세환")</f>
        <v>탑박상호,정글지범진,미드신동혁,원딜정용운,서폿이세환</v>
      </c>
      <c r="O11" s="4" t="str">
        <f t="shared" si="1"/>
        <v>승 10 / 패 10</v>
      </c>
      <c r="P11" s="5" t="str">
        <f t="shared" si="2"/>
        <v/>
      </c>
      <c r="Q11" s="4" t="str">
        <f t="shared" si="3"/>
        <v/>
      </c>
      <c r="R11" s="1" t="s">
        <v>41</v>
      </c>
      <c r="S11" s="4"/>
      <c r="T11" s="4"/>
      <c r="Z11" s="1" t="s">
        <v>15</v>
      </c>
      <c r="AA11" s="1" t="s">
        <v>17</v>
      </c>
      <c r="AB11" s="1" t="s">
        <v>20</v>
      </c>
      <c r="AC11" s="4" t="s">
        <v>41</v>
      </c>
    </row>
    <row r="12">
      <c r="A12" s="3">
        <v>46026.0</v>
      </c>
      <c r="B12" s="1">
        <v>2.0</v>
      </c>
      <c r="C12" s="1" t="s">
        <v>26</v>
      </c>
      <c r="D12" s="1" t="s">
        <v>34</v>
      </c>
      <c r="E12" s="1" t="s">
        <v>17</v>
      </c>
      <c r="F12" s="1" t="s">
        <v>27</v>
      </c>
      <c r="G12" s="1">
        <v>7.0</v>
      </c>
      <c r="H12" s="1">
        <v>2.0</v>
      </c>
      <c r="I12" s="1">
        <v>2.0</v>
      </c>
      <c r="J12" s="2">
        <v>18870.0</v>
      </c>
      <c r="K12" s="2">
        <v>12082.0</v>
      </c>
      <c r="L12" s="1"/>
      <c r="N12" s="4" t="str">
        <f>IFERROR(__xludf.DUMMYFUNCTION("TEXTJOIN("","", TRUE, FILTER($E$2:$E1000 &amp; $C$2:$C1000, $A$2:$A1000=A12, $B$2:$B1000=B12, $D$2:$D1000&lt;&gt;D12))"),"탑임성빈,정글심재현,미드김응민,원딜이창호,서폿김현수")</f>
        <v>탑임성빈,정글심재현,미드김응민,원딜이창호,서폿김현수</v>
      </c>
      <c r="O12" s="4" t="str">
        <f t="shared" si="1"/>
        <v>승 11 / 패 12</v>
      </c>
      <c r="P12" s="5" t="str">
        <f t="shared" si="2"/>
        <v/>
      </c>
      <c r="Q12" s="4" t="str">
        <f t="shared" si="3"/>
        <v/>
      </c>
      <c r="R12" s="1" t="s">
        <v>43</v>
      </c>
      <c r="S12" s="4"/>
      <c r="T12" s="4"/>
      <c r="Z12" s="1" t="s">
        <v>15</v>
      </c>
      <c r="AA12" s="1" t="s">
        <v>17</v>
      </c>
      <c r="AB12" s="1" t="s">
        <v>20</v>
      </c>
      <c r="AC12" s="4" t="s">
        <v>43</v>
      </c>
    </row>
    <row r="13">
      <c r="A13" s="3">
        <v>46026.0</v>
      </c>
      <c r="B13" s="1">
        <v>2.0</v>
      </c>
      <c r="C13" s="1" t="s">
        <v>22</v>
      </c>
      <c r="D13" s="1" t="s">
        <v>34</v>
      </c>
      <c r="E13" s="1" t="s">
        <v>23</v>
      </c>
      <c r="F13" s="1" t="s">
        <v>44</v>
      </c>
      <c r="G13" s="1">
        <v>6.0</v>
      </c>
      <c r="H13" s="1">
        <v>11.0</v>
      </c>
      <c r="I13" s="1">
        <v>3.0</v>
      </c>
      <c r="J13" s="2">
        <v>13939.0</v>
      </c>
      <c r="K13" s="2">
        <v>9673.0</v>
      </c>
      <c r="L13" s="1"/>
      <c r="N13" s="4" t="str">
        <f>IFERROR(__xludf.DUMMYFUNCTION("TEXTJOIN("","", TRUE, FILTER($E$2:$E1000 &amp; $C$2:$C1000, $A$2:$A1000=A13, $B$2:$B1000=B13, $D$2:$D1000&lt;&gt;D13))"),"탑임성빈,정글심재현,미드김응민,원딜이창호,서폿김현수")</f>
        <v>탑임성빈,정글심재현,미드김응민,원딜이창호,서폿김현수</v>
      </c>
      <c r="O13" s="4" t="str">
        <f t="shared" si="1"/>
        <v>승 6 / 패 3</v>
      </c>
      <c r="P13" s="5" t="str">
        <f t="shared" si="2"/>
        <v/>
      </c>
      <c r="Q13" s="4" t="str">
        <f t="shared" si="3"/>
        <v/>
      </c>
      <c r="R13" s="1" t="s">
        <v>45</v>
      </c>
      <c r="S13" s="4"/>
      <c r="T13" s="4"/>
      <c r="Z13" s="1" t="s">
        <v>15</v>
      </c>
      <c r="AA13" s="1" t="s">
        <v>17</v>
      </c>
      <c r="AB13" s="1" t="s">
        <v>20</v>
      </c>
      <c r="AC13" s="4" t="s">
        <v>45</v>
      </c>
    </row>
    <row r="14">
      <c r="A14" s="3">
        <v>46026.0</v>
      </c>
      <c r="B14" s="1">
        <v>2.0</v>
      </c>
      <c r="C14" s="1" t="s">
        <v>15</v>
      </c>
      <c r="D14" s="1" t="s">
        <v>34</v>
      </c>
      <c r="E14" s="1" t="s">
        <v>19</v>
      </c>
      <c r="F14" s="1" t="s">
        <v>18</v>
      </c>
      <c r="G14" s="1">
        <v>1.0</v>
      </c>
      <c r="H14" s="1">
        <v>8.0</v>
      </c>
      <c r="I14" s="1">
        <v>6.0</v>
      </c>
      <c r="J14" s="2">
        <v>15807.0</v>
      </c>
      <c r="K14" s="2">
        <v>9011.0</v>
      </c>
      <c r="L14" s="1"/>
      <c r="N14" s="4" t="str">
        <f>IFERROR(__xludf.DUMMYFUNCTION("TEXTJOIN("","", TRUE, FILTER($E$2:$E1000 &amp; $C$2:$C1000, $A$2:$A1000=A14, $B$2:$B1000=B14, $D$2:$D1000&lt;&gt;D14))"),"탑임성빈,정글심재현,미드김응민,원딜이창호,서폿김현수")</f>
        <v>탑임성빈,정글심재현,미드김응민,원딜이창호,서폿김현수</v>
      </c>
      <c r="O14" s="4" t="str">
        <f t="shared" si="1"/>
        <v>승 2 / 패 1</v>
      </c>
      <c r="P14" s="5" t="str">
        <f t="shared" si="2"/>
        <v/>
      </c>
      <c r="Q14" s="4" t="str">
        <f t="shared" si="3"/>
        <v/>
      </c>
      <c r="R14" s="1" t="s">
        <v>46</v>
      </c>
      <c r="S14" s="4"/>
      <c r="T14" s="4"/>
      <c r="Z14" s="1" t="s">
        <v>15</v>
      </c>
      <c r="AA14" s="1" t="s">
        <v>17</v>
      </c>
      <c r="AB14" s="1" t="s">
        <v>20</v>
      </c>
      <c r="AC14" s="4" t="s">
        <v>46</v>
      </c>
    </row>
    <row r="15">
      <c r="A15" s="3">
        <v>46026.0</v>
      </c>
      <c r="B15" s="1">
        <v>2.0</v>
      </c>
      <c r="C15" s="1" t="s">
        <v>28</v>
      </c>
      <c r="D15" s="1" t="s">
        <v>34</v>
      </c>
      <c r="E15" s="1" t="s">
        <v>29</v>
      </c>
      <c r="F15" s="1" t="s">
        <v>47</v>
      </c>
      <c r="G15" s="1">
        <v>2.0</v>
      </c>
      <c r="H15" s="1">
        <v>4.0</v>
      </c>
      <c r="I15" s="1">
        <v>6.0</v>
      </c>
      <c r="J15" s="2">
        <v>17542.0</v>
      </c>
      <c r="K15" s="2">
        <v>9678.0</v>
      </c>
      <c r="L15" s="1"/>
      <c r="N15" s="4" t="str">
        <f>IFERROR(__xludf.DUMMYFUNCTION("TEXTJOIN("","", TRUE, FILTER($E$2:$E1000 &amp; $C$2:$C1000, $A$2:$A1000=A15, $B$2:$B1000=B15, $D$2:$D1000&lt;&gt;D15))"),"탑임성빈,정글심재현,미드김응민,원딜이창호,서폿김현수")</f>
        <v>탑임성빈,정글심재현,미드김응민,원딜이창호,서폿김현수</v>
      </c>
      <c r="O15" s="4" t="str">
        <f t="shared" si="1"/>
        <v>승 1 / 패 2</v>
      </c>
      <c r="P15" s="5" t="str">
        <f t="shared" si="2"/>
        <v/>
      </c>
      <c r="Q15" s="4" t="str">
        <f t="shared" si="3"/>
        <v/>
      </c>
      <c r="R15" s="1" t="s">
        <v>48</v>
      </c>
      <c r="S15" s="4"/>
      <c r="T15" s="4"/>
      <c r="Z15" s="1" t="s">
        <v>15</v>
      </c>
      <c r="AA15" s="1" t="s">
        <v>17</v>
      </c>
      <c r="AB15" s="1" t="s">
        <v>20</v>
      </c>
      <c r="AC15" s="4" t="s">
        <v>48</v>
      </c>
    </row>
    <row r="16">
      <c r="A16" s="3">
        <v>46026.0</v>
      </c>
      <c r="B16" s="1">
        <v>2.0</v>
      </c>
      <c r="C16" s="1" t="s">
        <v>21</v>
      </c>
      <c r="D16" s="1" t="s">
        <v>34</v>
      </c>
      <c r="E16" s="1" t="s">
        <v>31</v>
      </c>
      <c r="F16" s="1" t="s">
        <v>49</v>
      </c>
      <c r="G16" s="1">
        <v>2.0</v>
      </c>
      <c r="H16" s="1">
        <v>9.0</v>
      </c>
      <c r="I16" s="1">
        <v>8.0</v>
      </c>
      <c r="J16" s="2">
        <v>18437.0</v>
      </c>
      <c r="K16" s="2">
        <v>7401.0</v>
      </c>
      <c r="L16" s="1"/>
      <c r="N16" s="4" t="str">
        <f>IFERROR(__xludf.DUMMYFUNCTION("TEXTJOIN("","", TRUE, FILTER($E$2:$E1000 &amp; $C$2:$C1000, $A$2:$A1000=A16, $B$2:$B1000=B16, $D$2:$D1000&lt;&gt;D16))"),"탑임성빈,정글심재현,미드김응민,원딜이창호,서폿김현수")</f>
        <v>탑임성빈,정글심재현,미드김응민,원딜이창호,서폿김현수</v>
      </c>
      <c r="O16" s="4" t="str">
        <f t="shared" si="1"/>
        <v>승 4 / 패 2</v>
      </c>
      <c r="P16" s="5" t="str">
        <f t="shared" si="2"/>
        <v/>
      </c>
      <c r="Q16" s="4" t="str">
        <f t="shared" si="3"/>
        <v/>
      </c>
      <c r="R16" s="1" t="s">
        <v>50</v>
      </c>
      <c r="S16" s="4"/>
      <c r="T16" s="4"/>
      <c r="Z16" s="1" t="s">
        <v>15</v>
      </c>
      <c r="AA16" s="1" t="s">
        <v>17</v>
      </c>
      <c r="AB16" s="1" t="s">
        <v>20</v>
      </c>
      <c r="AC16" s="4" t="s">
        <v>50</v>
      </c>
    </row>
    <row r="17">
      <c r="A17" s="3">
        <v>46026.0</v>
      </c>
      <c r="B17" s="1">
        <v>2.0</v>
      </c>
      <c r="C17" s="1" t="s">
        <v>33</v>
      </c>
      <c r="D17" s="1" t="s">
        <v>16</v>
      </c>
      <c r="E17" s="1" t="s">
        <v>17</v>
      </c>
      <c r="F17" s="1" t="s">
        <v>51</v>
      </c>
      <c r="G17" s="1">
        <v>2.0</v>
      </c>
      <c r="H17" s="1">
        <v>3.0</v>
      </c>
      <c r="I17" s="1">
        <v>13.0</v>
      </c>
      <c r="J17" s="2">
        <v>14617.0</v>
      </c>
      <c r="K17" s="2">
        <v>9258.0</v>
      </c>
      <c r="L17" s="1"/>
      <c r="N17" s="4" t="str">
        <f>IFERROR(__xludf.DUMMYFUNCTION("TEXTJOIN("","", TRUE, FILTER($E$2:$E1000 &amp; $C$2:$C1000, $A$2:$A1000=A17, $B$2:$B1000=B17, $D$2:$D1000&lt;&gt;D17))"),"탑신동혁,정글지범진,미드박상호,원딜정용운,서폿이세환")</f>
        <v>탑신동혁,정글지범진,미드박상호,원딜정용운,서폿이세환</v>
      </c>
      <c r="O17" s="4" t="str">
        <f t="shared" si="1"/>
        <v>승 5 / 패 3</v>
      </c>
      <c r="P17" s="5" t="str">
        <f t="shared" si="2"/>
        <v/>
      </c>
      <c r="R17" s="1" t="s">
        <v>52</v>
      </c>
      <c r="S17" s="4"/>
      <c r="T17" s="4"/>
      <c r="Z17" s="1" t="s">
        <v>15</v>
      </c>
      <c r="AA17" s="1" t="s">
        <v>17</v>
      </c>
      <c r="AB17" s="1" t="s">
        <v>20</v>
      </c>
      <c r="AC17" s="4" t="s">
        <v>52</v>
      </c>
    </row>
    <row r="18">
      <c r="A18" s="3">
        <v>46026.0</v>
      </c>
      <c r="B18" s="1">
        <v>2.0</v>
      </c>
      <c r="C18" s="1" t="s">
        <v>36</v>
      </c>
      <c r="D18" s="1" t="s">
        <v>16</v>
      </c>
      <c r="E18" s="1" t="s">
        <v>23</v>
      </c>
      <c r="F18" s="1" t="s">
        <v>53</v>
      </c>
      <c r="G18" s="1">
        <v>4.0</v>
      </c>
      <c r="H18" s="1">
        <v>8.0</v>
      </c>
      <c r="I18" s="1">
        <v>17.0</v>
      </c>
      <c r="J18" s="2">
        <v>25760.0</v>
      </c>
      <c r="K18" s="2">
        <v>11268.0</v>
      </c>
      <c r="L18" s="1"/>
      <c r="N18" s="4" t="str">
        <f>IFERROR(__xludf.DUMMYFUNCTION("TEXTJOIN("","", TRUE, FILTER($E$2:$E1000 &amp; $C$2:$C1000, $A$2:$A1000=A18, $B$2:$B1000=B18, $D$2:$D1000&lt;&gt;D18))"),"탑신동혁,정글지범진,미드박상호,원딜정용운,서폿이세환")</f>
        <v>탑신동혁,정글지범진,미드박상호,원딜정용운,서폿이세환</v>
      </c>
      <c r="O18" s="4" t="str">
        <f t="shared" si="1"/>
        <v>승 2 / 패 1</v>
      </c>
      <c r="P18" s="5" t="str">
        <f t="shared" si="2"/>
        <v/>
      </c>
      <c r="R18" s="1" t="s">
        <v>54</v>
      </c>
      <c r="S18" s="4"/>
      <c r="T18" s="4"/>
      <c r="Z18" s="1" t="s">
        <v>15</v>
      </c>
      <c r="AA18" s="1" t="s">
        <v>17</v>
      </c>
      <c r="AB18" s="1" t="s">
        <v>20</v>
      </c>
      <c r="AC18" s="4" t="s">
        <v>54</v>
      </c>
    </row>
    <row r="19">
      <c r="A19" s="3">
        <v>46026.0</v>
      </c>
      <c r="B19" s="1">
        <v>2.0</v>
      </c>
      <c r="C19" s="1" t="s">
        <v>38</v>
      </c>
      <c r="D19" s="1" t="s">
        <v>16</v>
      </c>
      <c r="E19" s="1" t="s">
        <v>19</v>
      </c>
      <c r="F19" s="1" t="s">
        <v>25</v>
      </c>
      <c r="G19" s="1">
        <v>8.0</v>
      </c>
      <c r="H19" s="1">
        <v>3.0</v>
      </c>
      <c r="I19" s="1">
        <v>10.0</v>
      </c>
      <c r="J19" s="2">
        <v>18998.0</v>
      </c>
      <c r="K19" s="2">
        <v>12263.0</v>
      </c>
      <c r="L19" s="1"/>
      <c r="N19" s="4" t="str">
        <f>IFERROR(__xludf.DUMMYFUNCTION("TEXTJOIN("","", TRUE, FILTER($E$2:$E1000 &amp; $C$2:$C1000, $A$2:$A1000=A19, $B$2:$B1000=B19, $D$2:$D1000&lt;&gt;D19))"),"탑신동혁,정글지범진,미드박상호,원딜정용운,서폿이세환")</f>
        <v>탑신동혁,정글지범진,미드박상호,원딜정용운,서폿이세환</v>
      </c>
      <c r="O19" s="4" t="str">
        <f t="shared" si="1"/>
        <v>승 2 / 패 1</v>
      </c>
      <c r="R19" s="1" t="s">
        <v>55</v>
      </c>
      <c r="S19" s="4"/>
      <c r="T19" s="4"/>
      <c r="Z19" s="1" t="s">
        <v>15</v>
      </c>
      <c r="AA19" s="1" t="s">
        <v>17</v>
      </c>
      <c r="AB19" s="1" t="s">
        <v>20</v>
      </c>
      <c r="AC19" s="4" t="s">
        <v>55</v>
      </c>
    </row>
    <row r="20">
      <c r="A20" s="3">
        <v>46026.0</v>
      </c>
      <c r="B20" s="1">
        <v>2.0</v>
      </c>
      <c r="C20" s="1" t="s">
        <v>39</v>
      </c>
      <c r="D20" s="1" t="s">
        <v>16</v>
      </c>
      <c r="E20" s="1" t="s">
        <v>29</v>
      </c>
      <c r="F20" s="1" t="s">
        <v>56</v>
      </c>
      <c r="G20" s="1">
        <v>19.0</v>
      </c>
      <c r="H20" s="1">
        <v>2.0</v>
      </c>
      <c r="I20" s="1">
        <v>6.0</v>
      </c>
      <c r="J20" s="2">
        <v>32914.0</v>
      </c>
      <c r="K20" s="2">
        <v>16811.0</v>
      </c>
      <c r="L20" s="1"/>
      <c r="N20" s="4" t="str">
        <f>IFERROR(__xludf.DUMMYFUNCTION("TEXTJOIN("","", TRUE, FILTER($E$2:$E1000 &amp; $C$2:$C1000, $A$2:$A1000=A20, $B$2:$B1000=B20, $D$2:$D1000&lt;&gt;D20))"),"탑신동혁,정글지범진,미드박상호,원딜정용운,서폿이세환")</f>
        <v>탑신동혁,정글지범진,미드박상호,원딜정용운,서폿이세환</v>
      </c>
      <c r="O20" s="4" t="str">
        <f t="shared" si="1"/>
        <v>승 3 / 패 5</v>
      </c>
      <c r="R20" s="1" t="s">
        <v>57</v>
      </c>
      <c r="S20" s="4"/>
      <c r="T20" s="4"/>
      <c r="Z20" s="1" t="s">
        <v>15</v>
      </c>
      <c r="AA20" s="1" t="s">
        <v>17</v>
      </c>
      <c r="AB20" s="1" t="s">
        <v>20</v>
      </c>
      <c r="AC20" s="4" t="s">
        <v>57</v>
      </c>
    </row>
    <row r="21">
      <c r="A21" s="3">
        <v>46026.0</v>
      </c>
      <c r="B21" s="1">
        <v>2.0</v>
      </c>
      <c r="C21" s="1" t="s">
        <v>41</v>
      </c>
      <c r="D21" s="1" t="s">
        <v>16</v>
      </c>
      <c r="E21" s="1" t="s">
        <v>31</v>
      </c>
      <c r="F21" s="1" t="s">
        <v>58</v>
      </c>
      <c r="G21" s="1">
        <v>1.0</v>
      </c>
      <c r="H21" s="1">
        <v>2.0</v>
      </c>
      <c r="I21" s="1">
        <v>26.0</v>
      </c>
      <c r="J21" s="2">
        <v>10730.0</v>
      </c>
      <c r="K21" s="2">
        <v>8203.0</v>
      </c>
      <c r="L21" s="1"/>
      <c r="N21" s="4" t="str">
        <f>IFERROR(__xludf.DUMMYFUNCTION("TEXTJOIN("","", TRUE, FILTER($E$2:$E1000 &amp; $C$2:$C1000, $A$2:$A1000=A21, $B$2:$B1000=B21, $D$2:$D1000&lt;&gt;D21))"),"탑신동혁,정글지범진,미드박상호,원딜정용운,서폿이세환")</f>
        <v>탑신동혁,정글지범진,미드박상호,원딜정용운,서폿이세환</v>
      </c>
      <c r="O21" s="4" t="str">
        <f t="shared" si="1"/>
        <v>승 1 / 패 2</v>
      </c>
      <c r="R21" s="1" t="s">
        <v>59</v>
      </c>
      <c r="S21" s="4"/>
      <c r="T21" s="4"/>
      <c r="Z21" s="1" t="s">
        <v>15</v>
      </c>
      <c r="AA21" s="1" t="s">
        <v>17</v>
      </c>
      <c r="AB21" s="1" t="s">
        <v>20</v>
      </c>
      <c r="AC21" s="4" t="s">
        <v>59</v>
      </c>
    </row>
    <row r="22">
      <c r="A22" s="3">
        <v>46026.0</v>
      </c>
      <c r="B22" s="1">
        <v>3.0</v>
      </c>
      <c r="C22" s="1" t="s">
        <v>26</v>
      </c>
      <c r="D22" s="1" t="s">
        <v>16</v>
      </c>
      <c r="E22" s="1" t="s">
        <v>17</v>
      </c>
      <c r="F22" s="1" t="s">
        <v>27</v>
      </c>
      <c r="G22" s="1">
        <v>6.0</v>
      </c>
      <c r="H22" s="1">
        <v>3.0</v>
      </c>
      <c r="I22" s="1">
        <v>8.0</v>
      </c>
      <c r="J22" s="2">
        <v>29156.0</v>
      </c>
      <c r="K22" s="2">
        <v>11691.0</v>
      </c>
      <c r="L22" s="1"/>
      <c r="N22" s="4" t="str">
        <f>IFERROR(__xludf.DUMMYFUNCTION("TEXTJOIN("","", TRUE, FILTER($E$2:$E1000 &amp; $C$2:$C1000, $A$2:$A1000=A22, $B$2:$B1000=B22, $D$2:$D1000&lt;&gt;D22))"),"탑임성빈,정글심재현,미드김응민,원딜이창호,서폿김현수")</f>
        <v>탑임성빈,정글심재현,미드김응민,원딜이창호,서폿김현수</v>
      </c>
      <c r="O22" s="4" t="str">
        <f t="shared" si="1"/>
        <v>승 19 / 패 7</v>
      </c>
      <c r="R22" s="1" t="s">
        <v>15</v>
      </c>
      <c r="S22" s="4"/>
      <c r="T22" s="4"/>
      <c r="AC22" s="4"/>
    </row>
    <row r="23">
      <c r="A23" s="3">
        <v>46026.0</v>
      </c>
      <c r="B23" s="1">
        <v>3.0</v>
      </c>
      <c r="C23" s="1" t="s">
        <v>22</v>
      </c>
      <c r="D23" s="1" t="s">
        <v>16</v>
      </c>
      <c r="E23" s="1" t="s">
        <v>23</v>
      </c>
      <c r="F23" s="1" t="s">
        <v>44</v>
      </c>
      <c r="G23" s="1">
        <v>7.0</v>
      </c>
      <c r="H23" s="1">
        <v>2.0</v>
      </c>
      <c r="I23" s="1">
        <v>14.0</v>
      </c>
      <c r="J23" s="2">
        <v>15372.0</v>
      </c>
      <c r="K23" s="2">
        <v>12365.0</v>
      </c>
      <c r="L23" s="1"/>
      <c r="N23" s="4" t="str">
        <f>IFERROR(__xludf.DUMMYFUNCTION("TEXTJOIN("","", TRUE, FILTER($E$2:$E1000 &amp; $C$2:$C1000, $A$2:$A1000=A23, $B$2:$B1000=B23, $D$2:$D1000&lt;&gt;D23))"),"탑임성빈,정글심재현,미드김응민,원딜이창호,서폿김현수")</f>
        <v>탑임성빈,정글심재현,미드김응민,원딜이창호,서폿김현수</v>
      </c>
    </row>
    <row r="24">
      <c r="A24" s="3">
        <v>46026.0</v>
      </c>
      <c r="B24" s="1">
        <v>3.0</v>
      </c>
      <c r="C24" s="1" t="s">
        <v>15</v>
      </c>
      <c r="D24" s="1" t="s">
        <v>16</v>
      </c>
      <c r="E24" s="1" t="s">
        <v>19</v>
      </c>
      <c r="F24" s="1" t="s">
        <v>18</v>
      </c>
      <c r="G24" s="1">
        <v>5.0</v>
      </c>
      <c r="H24" s="1">
        <v>1.0</v>
      </c>
      <c r="I24" s="1">
        <v>4.0</v>
      </c>
      <c r="J24" s="2">
        <v>20452.0</v>
      </c>
      <c r="K24" s="2">
        <v>14703.0</v>
      </c>
      <c r="L24" s="1"/>
      <c r="N24" s="4" t="str">
        <f>IFERROR(__xludf.DUMMYFUNCTION("TEXTJOIN("","", TRUE, FILTER($E$2:$E1000 &amp; $C$2:$C1000, $A$2:$A1000=A24, $B$2:$B1000=B24, $D$2:$D1000&lt;&gt;D24))"),"탑임성빈,정글심재현,미드김응민,원딜이창호,서폿김현수")</f>
        <v>탑임성빈,정글심재현,미드김응민,원딜이창호,서폿김현수</v>
      </c>
    </row>
    <row r="25">
      <c r="A25" s="3">
        <v>46026.0</v>
      </c>
      <c r="B25" s="1">
        <v>3.0</v>
      </c>
      <c r="C25" s="1" t="s">
        <v>28</v>
      </c>
      <c r="D25" s="1" t="s">
        <v>16</v>
      </c>
      <c r="E25" s="1" t="s">
        <v>29</v>
      </c>
      <c r="F25" s="1" t="s">
        <v>60</v>
      </c>
      <c r="G25" s="1">
        <v>12.0</v>
      </c>
      <c r="H25" s="1">
        <v>3.0</v>
      </c>
      <c r="I25" s="1">
        <v>6.0</v>
      </c>
      <c r="J25" s="2">
        <v>24440.0</v>
      </c>
      <c r="K25" s="2">
        <v>14670.0</v>
      </c>
      <c r="L25" s="1"/>
      <c r="N25" s="4" t="str">
        <f>IFERROR(__xludf.DUMMYFUNCTION("TEXTJOIN("","", TRUE, FILTER($E$2:$E1000 &amp; $C$2:$C1000, $A$2:$A1000=A25, $B$2:$B1000=B25, $D$2:$D1000&lt;&gt;D25))"),"탑임성빈,정글심재현,미드김응민,원딜이창호,서폿김현수")</f>
        <v>탑임성빈,정글심재현,미드김응민,원딜이창호,서폿김현수</v>
      </c>
    </row>
    <row r="26">
      <c r="A26" s="3">
        <v>46026.0</v>
      </c>
      <c r="B26" s="1">
        <v>3.0</v>
      </c>
      <c r="C26" s="1" t="s">
        <v>21</v>
      </c>
      <c r="D26" s="1" t="s">
        <v>16</v>
      </c>
      <c r="E26" s="1" t="s">
        <v>31</v>
      </c>
      <c r="F26" s="1" t="s">
        <v>61</v>
      </c>
      <c r="G26" s="1">
        <v>1.0</v>
      </c>
      <c r="H26" s="1">
        <v>4.0</v>
      </c>
      <c r="I26" s="1">
        <v>16.0</v>
      </c>
      <c r="J26" s="2">
        <v>16943.0</v>
      </c>
      <c r="K26" s="2">
        <v>8224.0</v>
      </c>
      <c r="L26" s="1"/>
      <c r="N26" s="4" t="str">
        <f>IFERROR(__xludf.DUMMYFUNCTION("TEXTJOIN("","", TRUE, FILTER($E$2:$E1000 &amp; $C$2:$C1000, $A$2:$A1000=A26, $B$2:$B1000=B26, $D$2:$D1000&lt;&gt;D26))"),"탑임성빈,정글심재현,미드김응민,원딜이창호,서폿김현수")</f>
        <v>탑임성빈,정글심재현,미드김응민,원딜이창호,서폿김현수</v>
      </c>
    </row>
    <row r="27">
      <c r="A27" s="3">
        <v>46026.0</v>
      </c>
      <c r="B27" s="1">
        <v>3.0</v>
      </c>
      <c r="C27" s="1" t="s">
        <v>33</v>
      </c>
      <c r="D27" s="1" t="s">
        <v>34</v>
      </c>
      <c r="E27" s="1" t="s">
        <v>17</v>
      </c>
      <c r="F27" s="1" t="s">
        <v>62</v>
      </c>
      <c r="G27" s="1">
        <v>2.0</v>
      </c>
      <c r="H27" s="1">
        <v>6.0</v>
      </c>
      <c r="I27" s="1">
        <v>3.0</v>
      </c>
      <c r="J27" s="2">
        <v>11878.0</v>
      </c>
      <c r="K27" s="2">
        <v>10311.0</v>
      </c>
      <c r="L27" s="1"/>
      <c r="N27" s="4" t="str">
        <f>IFERROR(__xludf.DUMMYFUNCTION("TEXTJOIN("","", TRUE, FILTER($E$2:$E1000 &amp; $C$2:$C1000, $A$2:$A1000=A27, $B$2:$B1000=B27, $D$2:$D1000&lt;&gt;D27))"),"탑신동혁,정글지범진,미드박상호,원딜정용운,서폿이세환")</f>
        <v>탑신동혁,정글지범진,미드박상호,원딜정용운,서폿이세환</v>
      </c>
    </row>
    <row r="28">
      <c r="A28" s="3">
        <v>46026.0</v>
      </c>
      <c r="B28" s="1">
        <v>3.0</v>
      </c>
      <c r="C28" s="1" t="s">
        <v>36</v>
      </c>
      <c r="D28" s="1" t="s">
        <v>34</v>
      </c>
      <c r="E28" s="1" t="s">
        <v>23</v>
      </c>
      <c r="F28" s="1" t="s">
        <v>63</v>
      </c>
      <c r="G28" s="1">
        <v>6.0</v>
      </c>
      <c r="H28" s="1">
        <v>6.0</v>
      </c>
      <c r="I28" s="1">
        <v>4.0</v>
      </c>
      <c r="J28" s="2">
        <v>14801.0</v>
      </c>
      <c r="K28" s="2">
        <v>12105.0</v>
      </c>
      <c r="L28" s="1"/>
      <c r="N28" s="4" t="str">
        <f>IFERROR(__xludf.DUMMYFUNCTION("TEXTJOIN("","", TRUE, FILTER($E$2:$E1000 &amp; $C$2:$C1000, $A$2:$A1000=A28, $B$2:$B1000=B28, $D$2:$D1000&lt;&gt;D28))"),"탑신동혁,정글지범진,미드박상호,원딜정용운,서폿이세환")</f>
        <v>탑신동혁,정글지범진,미드박상호,원딜정용운,서폿이세환</v>
      </c>
    </row>
    <row r="29">
      <c r="A29" s="3">
        <v>46026.0</v>
      </c>
      <c r="B29" s="1">
        <v>3.0</v>
      </c>
      <c r="C29" s="1" t="s">
        <v>38</v>
      </c>
      <c r="D29" s="1" t="s">
        <v>34</v>
      </c>
      <c r="E29" s="1" t="s">
        <v>19</v>
      </c>
      <c r="F29" s="1" t="s">
        <v>64</v>
      </c>
      <c r="G29" s="1">
        <v>4.0</v>
      </c>
      <c r="H29" s="1">
        <v>6.0</v>
      </c>
      <c r="I29" s="1">
        <v>5.0</v>
      </c>
      <c r="J29" s="2">
        <v>16595.0</v>
      </c>
      <c r="K29" s="2">
        <v>10995.0</v>
      </c>
      <c r="L29" s="1"/>
      <c r="N29" s="4" t="str">
        <f>IFERROR(__xludf.DUMMYFUNCTION("TEXTJOIN("","", TRUE, FILTER($E$2:$E1000 &amp; $C$2:$C1000, $A$2:$A1000=A29, $B$2:$B1000=B29, $D$2:$D1000&lt;&gt;D29))"),"탑신동혁,정글지범진,미드박상호,원딜정용운,서폿이세환")</f>
        <v>탑신동혁,정글지범진,미드박상호,원딜정용운,서폿이세환</v>
      </c>
    </row>
    <row r="30">
      <c r="A30" s="3">
        <v>46026.0</v>
      </c>
      <c r="B30" s="1">
        <v>3.0</v>
      </c>
      <c r="C30" s="1" t="s">
        <v>39</v>
      </c>
      <c r="D30" s="1" t="s">
        <v>34</v>
      </c>
      <c r="E30" s="1" t="s">
        <v>29</v>
      </c>
      <c r="F30" s="1" t="s">
        <v>65</v>
      </c>
      <c r="G30" s="1">
        <v>0.0</v>
      </c>
      <c r="H30" s="1">
        <v>5.0</v>
      </c>
      <c r="I30" s="1">
        <v>6.0</v>
      </c>
      <c r="J30" s="2">
        <v>13261.0</v>
      </c>
      <c r="K30" s="2">
        <v>8982.0</v>
      </c>
      <c r="L30" s="1"/>
      <c r="N30" s="4" t="str">
        <f>IFERROR(__xludf.DUMMYFUNCTION("TEXTJOIN("","", TRUE, FILTER($E$2:$E1000 &amp; $C$2:$C1000, $A$2:$A1000=A30, $B$2:$B1000=B30, $D$2:$D1000&lt;&gt;D30))"),"탑신동혁,정글지범진,미드박상호,원딜정용운,서폿이세환")</f>
        <v>탑신동혁,정글지범진,미드박상호,원딜정용운,서폿이세환</v>
      </c>
    </row>
    <row r="31">
      <c r="A31" s="3">
        <v>46026.0</v>
      </c>
      <c r="B31" s="1">
        <v>3.0</v>
      </c>
      <c r="C31" s="1" t="s">
        <v>41</v>
      </c>
      <c r="D31" s="1" t="s">
        <v>34</v>
      </c>
      <c r="E31" s="1" t="s">
        <v>31</v>
      </c>
      <c r="F31" s="1" t="s">
        <v>66</v>
      </c>
      <c r="G31" s="1">
        <v>1.0</v>
      </c>
      <c r="H31" s="1">
        <v>8.0</v>
      </c>
      <c r="I31" s="1">
        <v>8.0</v>
      </c>
      <c r="J31" s="2">
        <v>7688.0</v>
      </c>
      <c r="K31" s="2">
        <v>6986.0</v>
      </c>
      <c r="L31" s="1"/>
      <c r="N31" s="4" t="str">
        <f>IFERROR(__xludf.DUMMYFUNCTION("TEXTJOIN("","", TRUE, FILTER($E$2:$E1000 &amp; $C$2:$C1000, $A$2:$A1000=A31, $B$2:$B1000=B31, $D$2:$D1000&lt;&gt;D31))"),"탑신동혁,정글지범진,미드박상호,원딜정용운,서폿이세환")</f>
        <v>탑신동혁,정글지범진,미드박상호,원딜정용운,서폿이세환</v>
      </c>
    </row>
    <row r="32">
      <c r="A32" s="3">
        <v>46019.0</v>
      </c>
      <c r="B32" s="1">
        <v>1.0</v>
      </c>
      <c r="C32" s="1" t="s">
        <v>33</v>
      </c>
      <c r="D32" s="1" t="s">
        <v>34</v>
      </c>
      <c r="E32" s="1" t="s">
        <v>17</v>
      </c>
      <c r="F32" s="1" t="s">
        <v>67</v>
      </c>
      <c r="G32" s="1">
        <v>3.0</v>
      </c>
      <c r="H32" s="1">
        <v>6.0</v>
      </c>
      <c r="I32" s="1">
        <v>3.0</v>
      </c>
      <c r="J32" s="2">
        <v>16003.0</v>
      </c>
      <c r="K32" s="2">
        <v>7627.0</v>
      </c>
      <c r="L32" s="1"/>
      <c r="N32" s="4" t="str">
        <f>IFERROR(__xludf.DUMMYFUNCTION("TEXTJOIN("","", TRUE, FILTER($E$2:$E1000 &amp; $C$2:$C1000, $A$2:$A1000=A32, $B$2:$B1000=B32, $D$2:$D1000&lt;&gt;D32))"),"탑이진건,정글심재현,미드김응민,원딜정용운,서폿이세환")</f>
        <v>탑이진건,정글심재현,미드김응민,원딜정용운,서폿이세환</v>
      </c>
    </row>
    <row r="33">
      <c r="A33" s="3">
        <v>46019.0</v>
      </c>
      <c r="B33" s="1">
        <v>1.0</v>
      </c>
      <c r="C33" s="1" t="s">
        <v>22</v>
      </c>
      <c r="D33" s="1" t="s">
        <v>34</v>
      </c>
      <c r="E33" s="1" t="s">
        <v>23</v>
      </c>
      <c r="F33" s="1" t="s">
        <v>68</v>
      </c>
      <c r="G33" s="1">
        <v>6.0</v>
      </c>
      <c r="H33" s="1">
        <v>7.0</v>
      </c>
      <c r="I33" s="1">
        <v>5.0</v>
      </c>
      <c r="J33" s="2">
        <v>17441.0</v>
      </c>
      <c r="K33" s="2">
        <v>9783.0</v>
      </c>
      <c r="L33" s="1"/>
      <c r="N33" s="4" t="str">
        <f>IFERROR(__xludf.DUMMYFUNCTION("TEXTJOIN("","", TRUE, FILTER($E$2:$E1000 &amp; $C$2:$C1000, $A$2:$A1000=A33, $B$2:$B1000=B33, $D$2:$D1000&lt;&gt;D33))"),"탑이진건,정글심재현,미드김응민,원딜정용운,서폿이세환")</f>
        <v>탑이진건,정글심재현,미드김응민,원딜정용운,서폿이세환</v>
      </c>
    </row>
    <row r="34">
      <c r="A34" s="3">
        <v>46019.0</v>
      </c>
      <c r="B34" s="1">
        <v>1.0</v>
      </c>
      <c r="C34" s="1" t="s">
        <v>15</v>
      </c>
      <c r="D34" s="1" t="s">
        <v>34</v>
      </c>
      <c r="E34" s="1" t="s">
        <v>19</v>
      </c>
      <c r="F34" s="1" t="s">
        <v>18</v>
      </c>
      <c r="G34" s="1">
        <v>2.0</v>
      </c>
      <c r="H34" s="1">
        <v>8.0</v>
      </c>
      <c r="I34" s="1">
        <v>5.0</v>
      </c>
      <c r="J34" s="2">
        <v>11387.0</v>
      </c>
      <c r="K34" s="2">
        <v>8386.0</v>
      </c>
      <c r="L34" s="1"/>
      <c r="N34" s="4" t="str">
        <f>IFERROR(__xludf.DUMMYFUNCTION("TEXTJOIN("","", TRUE, FILTER($E$2:$E1000 &amp; $C$2:$C1000, $A$2:$A1000=A34, $B$2:$B1000=B34, $D$2:$D1000&lt;&gt;D34))"),"탑이진건,정글심재현,미드김응민,원딜정용운,서폿이세환")</f>
        <v>탑이진건,정글심재현,미드김응민,원딜정용운,서폿이세환</v>
      </c>
    </row>
    <row r="35">
      <c r="A35" s="3">
        <v>46019.0</v>
      </c>
      <c r="B35" s="1">
        <v>1.0</v>
      </c>
      <c r="C35" s="1" t="s">
        <v>39</v>
      </c>
      <c r="D35" s="1" t="s">
        <v>34</v>
      </c>
      <c r="E35" s="1" t="s">
        <v>29</v>
      </c>
      <c r="F35" s="1" t="s">
        <v>65</v>
      </c>
      <c r="G35" s="1">
        <v>8.0</v>
      </c>
      <c r="H35" s="1">
        <v>8.0</v>
      </c>
      <c r="I35" s="1">
        <v>5.0</v>
      </c>
      <c r="J35" s="2">
        <v>19635.0</v>
      </c>
      <c r="K35" s="2">
        <v>9648.0</v>
      </c>
      <c r="L35" s="1"/>
      <c r="N35" s="4" t="str">
        <f>IFERROR(__xludf.DUMMYFUNCTION("TEXTJOIN("","", TRUE, FILTER($E$2:$E1000 &amp; $C$2:$C1000, $A$2:$A1000=A35, $B$2:$B1000=B35, $D$2:$D1000&lt;&gt;D35))"),"탑이진건,정글심재현,미드김응민,원딜정용운,서폿이세환")</f>
        <v>탑이진건,정글심재현,미드김응민,원딜정용운,서폿이세환</v>
      </c>
    </row>
    <row r="36">
      <c r="A36" s="3">
        <v>46019.0</v>
      </c>
      <c r="B36" s="1">
        <v>1.0</v>
      </c>
      <c r="C36" s="1" t="s">
        <v>41</v>
      </c>
      <c r="D36" s="1" t="s">
        <v>34</v>
      </c>
      <c r="E36" s="1" t="s">
        <v>31</v>
      </c>
      <c r="F36" s="1" t="s">
        <v>42</v>
      </c>
      <c r="G36" s="1">
        <v>1.0</v>
      </c>
      <c r="H36" s="1">
        <v>7.0</v>
      </c>
      <c r="I36" s="1">
        <v>13.0</v>
      </c>
      <c r="J36" s="2">
        <v>13798.0</v>
      </c>
      <c r="K36" s="2">
        <v>6629.0</v>
      </c>
      <c r="L36" s="1"/>
      <c r="N36" s="4" t="str">
        <f>IFERROR(__xludf.DUMMYFUNCTION("TEXTJOIN("","", TRUE, FILTER($E$2:$E1000 &amp; $C$2:$C1000, $A$2:$A1000=A36, $B$2:$B1000=B36, $D$2:$D1000&lt;&gt;D36))"),"탑이진건,정글심재현,미드김응민,원딜정용운,서폿이세환")</f>
        <v>탑이진건,정글심재현,미드김응민,원딜정용운,서폿이세환</v>
      </c>
    </row>
    <row r="37">
      <c r="A37" s="3">
        <v>46019.0</v>
      </c>
      <c r="B37" s="1">
        <v>1.0</v>
      </c>
      <c r="C37" s="1" t="s">
        <v>43</v>
      </c>
      <c r="D37" s="1" t="s">
        <v>16</v>
      </c>
      <c r="E37" s="1" t="s">
        <v>17</v>
      </c>
      <c r="F37" s="1" t="s">
        <v>24</v>
      </c>
      <c r="G37" s="1">
        <v>11.0</v>
      </c>
      <c r="H37" s="1">
        <v>2.0</v>
      </c>
      <c r="I37" s="1">
        <v>12.0</v>
      </c>
      <c r="J37" s="2">
        <v>27978.0</v>
      </c>
      <c r="K37" s="2">
        <v>10747.0</v>
      </c>
      <c r="L37" s="1"/>
      <c r="N37" s="4" t="str">
        <f>IFERROR(__xludf.DUMMYFUNCTION("TEXTJOIN("","", TRUE, FILTER($E$2:$E1000 &amp; $C$2:$C1000, $A$2:$A1000=A37, $B$2:$B1000=B37, $D$2:$D1000&lt;&gt;D37))"),"탑임성빈,정글지범진,미드박상호,원딜이창호,서폿김현수")</f>
        <v>탑임성빈,정글지범진,미드박상호,원딜이창호,서폿김현수</v>
      </c>
    </row>
    <row r="38">
      <c r="A38" s="3">
        <v>46019.0</v>
      </c>
      <c r="B38" s="1">
        <v>1.0</v>
      </c>
      <c r="C38" s="1" t="s">
        <v>36</v>
      </c>
      <c r="D38" s="1" t="s">
        <v>16</v>
      </c>
      <c r="E38" s="1" t="s">
        <v>23</v>
      </c>
      <c r="F38" s="1" t="s">
        <v>69</v>
      </c>
      <c r="G38" s="1">
        <v>12.0</v>
      </c>
      <c r="H38" s="1">
        <v>4.0</v>
      </c>
      <c r="I38" s="1">
        <v>16.0</v>
      </c>
      <c r="J38" s="2">
        <v>27780.0</v>
      </c>
      <c r="K38" s="2">
        <v>13018.0</v>
      </c>
      <c r="L38" s="1"/>
      <c r="N38" s="4" t="str">
        <f>IFERROR(__xludf.DUMMYFUNCTION("TEXTJOIN("","", TRUE, FILTER($E$2:$E1000 &amp; $C$2:$C1000, $A$2:$A1000=A38, $B$2:$B1000=B38, $D$2:$D1000&lt;&gt;D38))"),"탑임성빈,정글지범진,미드박상호,원딜이창호,서폿김현수")</f>
        <v>탑임성빈,정글지범진,미드박상호,원딜이창호,서폿김현수</v>
      </c>
    </row>
    <row r="39">
      <c r="A39" s="3">
        <v>46019.0</v>
      </c>
      <c r="B39" s="1">
        <v>1.0</v>
      </c>
      <c r="C39" s="1" t="s">
        <v>38</v>
      </c>
      <c r="D39" s="1" t="s">
        <v>16</v>
      </c>
      <c r="E39" s="1" t="s">
        <v>19</v>
      </c>
      <c r="F39" s="1" t="s">
        <v>25</v>
      </c>
      <c r="G39" s="1">
        <v>8.0</v>
      </c>
      <c r="H39" s="1">
        <v>4.0</v>
      </c>
      <c r="I39" s="1">
        <v>8.0</v>
      </c>
      <c r="J39" s="2">
        <v>18848.0</v>
      </c>
      <c r="K39" s="2">
        <v>12445.0</v>
      </c>
      <c r="L39" s="1"/>
      <c r="N39" s="4" t="str">
        <f>IFERROR(__xludf.DUMMYFUNCTION("TEXTJOIN("","", TRUE, FILTER($E$2:$E1000 &amp; $C$2:$C1000, $A$2:$A1000=A39, $B$2:$B1000=B39, $D$2:$D1000&lt;&gt;D39))"),"탑임성빈,정글지범진,미드박상호,원딜이창호,서폿김현수")</f>
        <v>탑임성빈,정글지범진,미드박상호,원딜이창호,서폿김현수</v>
      </c>
    </row>
    <row r="40">
      <c r="A40" s="3">
        <v>46019.0</v>
      </c>
      <c r="B40" s="1">
        <v>1.0</v>
      </c>
      <c r="C40" s="1" t="s">
        <v>28</v>
      </c>
      <c r="D40" s="1" t="s">
        <v>16</v>
      </c>
      <c r="E40" s="1" t="s">
        <v>29</v>
      </c>
      <c r="F40" s="1" t="s">
        <v>70</v>
      </c>
      <c r="G40" s="1">
        <v>4.0</v>
      </c>
      <c r="H40" s="1">
        <v>5.0</v>
      </c>
      <c r="I40" s="1">
        <v>13.0</v>
      </c>
      <c r="J40" s="2">
        <v>15494.0</v>
      </c>
      <c r="K40" s="2">
        <v>9805.0</v>
      </c>
      <c r="L40" s="1"/>
      <c r="N40" s="4" t="str">
        <f>IFERROR(__xludf.DUMMYFUNCTION("TEXTJOIN("","", TRUE, FILTER($E$2:$E1000 &amp; $C$2:$C1000, $A$2:$A1000=A40, $B$2:$B1000=B40, $D$2:$D1000&lt;&gt;D40))"),"탑임성빈,정글지범진,미드박상호,원딜이창호,서폿김현수")</f>
        <v>탑임성빈,정글지범진,미드박상호,원딜이창호,서폿김현수</v>
      </c>
    </row>
    <row r="41">
      <c r="A41" s="3">
        <v>46019.0</v>
      </c>
      <c r="B41" s="1">
        <v>1.0</v>
      </c>
      <c r="C41" s="1" t="s">
        <v>21</v>
      </c>
      <c r="D41" s="1" t="s">
        <v>16</v>
      </c>
      <c r="E41" s="1" t="s">
        <v>31</v>
      </c>
      <c r="F41" s="1" t="s">
        <v>71</v>
      </c>
      <c r="G41" s="1">
        <v>1.0</v>
      </c>
      <c r="H41" s="1">
        <v>6.0</v>
      </c>
      <c r="I41" s="1">
        <v>18.0</v>
      </c>
      <c r="J41" s="2">
        <v>9186.0</v>
      </c>
      <c r="K41" s="2">
        <v>6905.0</v>
      </c>
      <c r="L41" s="1"/>
      <c r="N41" s="4" t="str">
        <f>IFERROR(__xludf.DUMMYFUNCTION("TEXTJOIN("","", TRUE, FILTER($E$2:$E1000 &amp; $C$2:$C1000, $A$2:$A1000=A41, $B$2:$B1000=B41, $D$2:$D1000&lt;&gt;D41))"),"탑임성빈,정글지범진,미드박상호,원딜이창호,서폿김현수")</f>
        <v>탑임성빈,정글지범진,미드박상호,원딜이창호,서폿김현수</v>
      </c>
    </row>
    <row r="42">
      <c r="A42" s="3">
        <v>46019.0</v>
      </c>
      <c r="B42" s="1">
        <v>2.0</v>
      </c>
      <c r="C42" s="1" t="s">
        <v>33</v>
      </c>
      <c r="D42" s="1" t="s">
        <v>16</v>
      </c>
      <c r="E42" s="1" t="s">
        <v>17</v>
      </c>
      <c r="F42" s="1" t="s">
        <v>72</v>
      </c>
      <c r="G42" s="1">
        <v>5.0</v>
      </c>
      <c r="H42" s="1">
        <v>6.0</v>
      </c>
      <c r="I42" s="1">
        <v>12.0</v>
      </c>
      <c r="J42" s="2">
        <v>19946.0</v>
      </c>
      <c r="K42" s="2">
        <v>13327.0</v>
      </c>
      <c r="L42" s="1"/>
      <c r="N42" s="4" t="str">
        <f>IFERROR(__xludf.DUMMYFUNCTION("TEXTJOIN("","", TRUE, FILTER($E$2:$E1000 &amp; $C$2:$C1000, $A$2:$A1000=A42, $B$2:$B1000=B42, $D$2:$D1000&lt;&gt;D42))"),"탑이진건,정글심재현,미드김응민,원딜정용운,서폿이세환")</f>
        <v>탑이진건,정글심재현,미드김응민,원딜정용운,서폿이세환</v>
      </c>
    </row>
    <row r="43">
      <c r="A43" s="3">
        <v>46019.0</v>
      </c>
      <c r="B43" s="1">
        <v>2.0</v>
      </c>
      <c r="C43" s="1" t="s">
        <v>22</v>
      </c>
      <c r="D43" s="1" t="s">
        <v>16</v>
      </c>
      <c r="E43" s="1" t="s">
        <v>23</v>
      </c>
      <c r="F43" s="1" t="s">
        <v>35</v>
      </c>
      <c r="G43" s="1">
        <v>6.0</v>
      </c>
      <c r="H43" s="1">
        <v>0.0</v>
      </c>
      <c r="I43" s="1">
        <v>14.0</v>
      </c>
      <c r="J43" s="2">
        <v>13262.0</v>
      </c>
      <c r="K43" s="2">
        <v>15281.0</v>
      </c>
      <c r="L43" s="1"/>
      <c r="N43" s="4" t="str">
        <f>IFERROR(__xludf.DUMMYFUNCTION("TEXTJOIN("","", TRUE, FILTER($E$2:$E1000 &amp; $C$2:$C1000, $A$2:$A1000=A43, $B$2:$B1000=B43, $D$2:$D1000&lt;&gt;D43))"),"탑이진건,정글심재현,미드김응민,원딜정용운,서폿이세환")</f>
        <v>탑이진건,정글심재현,미드김응민,원딜정용운,서폿이세환</v>
      </c>
    </row>
    <row r="44">
      <c r="A44" s="3">
        <v>46019.0</v>
      </c>
      <c r="B44" s="1">
        <v>2.0</v>
      </c>
      <c r="C44" s="1" t="s">
        <v>15</v>
      </c>
      <c r="D44" s="1" t="s">
        <v>16</v>
      </c>
      <c r="E44" s="1" t="s">
        <v>19</v>
      </c>
      <c r="F44" s="1" t="s">
        <v>25</v>
      </c>
      <c r="G44" s="1">
        <v>7.0</v>
      </c>
      <c r="H44" s="1">
        <v>6.0</v>
      </c>
      <c r="I44" s="1">
        <v>11.0</v>
      </c>
      <c r="J44" s="2">
        <v>28337.0</v>
      </c>
      <c r="K44" s="2">
        <v>14035.0</v>
      </c>
      <c r="L44" s="1"/>
      <c r="N44" s="4" t="str">
        <f>IFERROR(__xludf.DUMMYFUNCTION("TEXTJOIN("","", TRUE, FILTER($E$2:$E1000 &amp; $C$2:$C1000, $A$2:$A1000=A44, $B$2:$B1000=B44, $D$2:$D1000&lt;&gt;D44))"),"탑이진건,정글심재현,미드김응민,원딜정용운,서폿이세환")</f>
        <v>탑이진건,정글심재현,미드김응민,원딜정용운,서폿이세환</v>
      </c>
    </row>
    <row r="45">
      <c r="A45" s="3">
        <v>46019.0</v>
      </c>
      <c r="B45" s="1">
        <v>2.0</v>
      </c>
      <c r="C45" s="1" t="s">
        <v>39</v>
      </c>
      <c r="D45" s="1" t="s">
        <v>16</v>
      </c>
      <c r="E45" s="1" t="s">
        <v>29</v>
      </c>
      <c r="F45" s="1" t="s">
        <v>56</v>
      </c>
      <c r="G45" s="1">
        <v>16.0</v>
      </c>
      <c r="H45" s="1">
        <v>5.0</v>
      </c>
      <c r="I45" s="1">
        <v>7.0</v>
      </c>
      <c r="J45" s="2">
        <v>35045.0</v>
      </c>
      <c r="K45" s="2">
        <v>21111.0</v>
      </c>
      <c r="L45" s="1"/>
      <c r="N45" s="4" t="str">
        <f>IFERROR(__xludf.DUMMYFUNCTION("TEXTJOIN("","", TRUE, FILTER($E$2:$E1000 &amp; $C$2:$C1000, $A$2:$A1000=A45, $B$2:$B1000=B45, $D$2:$D1000&lt;&gt;D45))"),"탑이진건,정글심재현,미드김응민,원딜정용운,서폿이세환")</f>
        <v>탑이진건,정글심재현,미드김응민,원딜정용운,서폿이세환</v>
      </c>
    </row>
    <row r="46">
      <c r="A46" s="3">
        <v>46019.0</v>
      </c>
      <c r="B46" s="1">
        <v>2.0</v>
      </c>
      <c r="C46" s="1" t="s">
        <v>41</v>
      </c>
      <c r="D46" s="1" t="s">
        <v>16</v>
      </c>
      <c r="E46" s="1" t="s">
        <v>31</v>
      </c>
      <c r="F46" s="1" t="s">
        <v>42</v>
      </c>
      <c r="G46" s="1">
        <v>6.0</v>
      </c>
      <c r="H46" s="1">
        <v>4.0</v>
      </c>
      <c r="I46" s="1">
        <v>26.0</v>
      </c>
      <c r="J46" s="2">
        <v>27279.0</v>
      </c>
      <c r="K46" s="2">
        <v>13482.0</v>
      </c>
      <c r="L46" s="1"/>
      <c r="N46" s="4" t="str">
        <f>IFERROR(__xludf.DUMMYFUNCTION("TEXTJOIN("","", TRUE, FILTER($E$2:$E1000 &amp; $C$2:$C1000, $A$2:$A1000=A46, $B$2:$B1000=B46, $D$2:$D1000&lt;&gt;D46))"),"탑이진건,정글심재현,미드김응민,원딜정용운,서폿이세환")</f>
        <v>탑이진건,정글심재현,미드김응민,원딜정용운,서폿이세환</v>
      </c>
    </row>
    <row r="47">
      <c r="A47" s="3">
        <v>46019.0</v>
      </c>
      <c r="B47" s="1">
        <v>2.0</v>
      </c>
      <c r="C47" s="1" t="s">
        <v>43</v>
      </c>
      <c r="D47" s="1" t="s">
        <v>34</v>
      </c>
      <c r="E47" s="1" t="s">
        <v>17</v>
      </c>
      <c r="F47" s="1" t="s">
        <v>73</v>
      </c>
      <c r="G47" s="1">
        <v>1.0</v>
      </c>
      <c r="H47" s="1">
        <v>11.0</v>
      </c>
      <c r="I47" s="1">
        <v>5.0</v>
      </c>
      <c r="J47" s="2">
        <v>20712.0</v>
      </c>
      <c r="K47" s="2">
        <v>10921.0</v>
      </c>
      <c r="L47" s="1"/>
      <c r="N47" s="4" t="str">
        <f>IFERROR(__xludf.DUMMYFUNCTION("TEXTJOIN("","", TRUE, FILTER($E$2:$E1000 &amp; $C$2:$C1000, $A$2:$A1000=A47, $B$2:$B1000=B47, $D$2:$D1000&lt;&gt;D47))"),"탑임성빈,정글지범진,미드박상호,원딜이창호,서폿김현수")</f>
        <v>탑임성빈,정글지범진,미드박상호,원딜이창호,서폿김현수</v>
      </c>
    </row>
    <row r="48">
      <c r="A48" s="3">
        <v>46019.0</v>
      </c>
      <c r="B48" s="1">
        <v>2.0</v>
      </c>
      <c r="C48" s="1" t="s">
        <v>36</v>
      </c>
      <c r="D48" s="1" t="s">
        <v>34</v>
      </c>
      <c r="E48" s="1" t="s">
        <v>23</v>
      </c>
      <c r="F48" s="1" t="s">
        <v>74</v>
      </c>
      <c r="G48" s="1">
        <v>4.0</v>
      </c>
      <c r="H48" s="1">
        <v>9.0</v>
      </c>
      <c r="I48" s="1">
        <v>5.0</v>
      </c>
      <c r="J48" s="2">
        <v>29256.0</v>
      </c>
      <c r="K48" s="2">
        <v>14235.0</v>
      </c>
      <c r="L48" s="1"/>
      <c r="N48" s="4" t="str">
        <f>IFERROR(__xludf.DUMMYFUNCTION("TEXTJOIN("","", TRUE, FILTER($E$2:$E1000 &amp; $C$2:$C1000, $A$2:$A1000=A48, $B$2:$B1000=B48, $D$2:$D1000&lt;&gt;D48))"),"탑임성빈,정글지범진,미드박상호,원딜이창호,서폿김현수")</f>
        <v>탑임성빈,정글지범진,미드박상호,원딜이창호,서폿김현수</v>
      </c>
    </row>
    <row r="49">
      <c r="A49" s="3">
        <v>46019.0</v>
      </c>
      <c r="B49" s="1">
        <v>2.0</v>
      </c>
      <c r="C49" s="1" t="s">
        <v>38</v>
      </c>
      <c r="D49" s="1" t="s">
        <v>34</v>
      </c>
      <c r="E49" s="1" t="s">
        <v>19</v>
      </c>
      <c r="F49" s="1" t="s">
        <v>64</v>
      </c>
      <c r="G49" s="1">
        <v>7.0</v>
      </c>
      <c r="H49" s="1">
        <v>5.0</v>
      </c>
      <c r="I49" s="1">
        <v>9.0</v>
      </c>
      <c r="J49" s="2">
        <v>42960.0</v>
      </c>
      <c r="K49" s="2">
        <v>15737.0</v>
      </c>
      <c r="L49" s="1"/>
      <c r="N49" s="4" t="str">
        <f>IFERROR(__xludf.DUMMYFUNCTION("TEXTJOIN("","", TRUE, FILTER($E$2:$E1000 &amp; $C$2:$C1000, $A$2:$A1000=A49, $B$2:$B1000=B49, $D$2:$D1000&lt;&gt;D49))"),"탑임성빈,정글지범진,미드박상호,원딜이창호,서폿김현수")</f>
        <v>탑임성빈,정글지범진,미드박상호,원딜이창호,서폿김현수</v>
      </c>
    </row>
    <row r="50">
      <c r="A50" s="3">
        <v>46019.0</v>
      </c>
      <c r="B50" s="1">
        <v>2.0</v>
      </c>
      <c r="C50" s="1" t="s">
        <v>28</v>
      </c>
      <c r="D50" s="1" t="s">
        <v>34</v>
      </c>
      <c r="E50" s="1" t="s">
        <v>29</v>
      </c>
      <c r="F50" s="1" t="s">
        <v>75</v>
      </c>
      <c r="G50" s="1">
        <v>7.0</v>
      </c>
      <c r="H50" s="1">
        <v>6.0</v>
      </c>
      <c r="I50" s="1">
        <v>4.0</v>
      </c>
      <c r="J50" s="2">
        <v>22307.0</v>
      </c>
      <c r="K50" s="2">
        <v>15149.0</v>
      </c>
      <c r="L50" s="1"/>
      <c r="N50" s="4" t="str">
        <f>IFERROR(__xludf.DUMMYFUNCTION("TEXTJOIN("","", TRUE, FILTER($E$2:$E1000 &amp; $C$2:$C1000, $A$2:$A1000=A50, $B$2:$B1000=B50, $D$2:$D1000&lt;&gt;D50))"),"탑임성빈,정글지범진,미드박상호,원딜이창호,서폿김현수")</f>
        <v>탑임성빈,정글지범진,미드박상호,원딜이창호,서폿김현수</v>
      </c>
    </row>
    <row r="51">
      <c r="A51" s="3">
        <v>46019.0</v>
      </c>
      <c r="B51" s="1">
        <v>2.0</v>
      </c>
      <c r="C51" s="1" t="s">
        <v>21</v>
      </c>
      <c r="D51" s="1" t="s">
        <v>34</v>
      </c>
      <c r="E51" s="1" t="s">
        <v>31</v>
      </c>
      <c r="F51" s="1" t="s">
        <v>76</v>
      </c>
      <c r="G51" s="1">
        <v>2.0</v>
      </c>
      <c r="H51" s="1">
        <v>9.0</v>
      </c>
      <c r="I51" s="1">
        <v>12.0</v>
      </c>
      <c r="J51" s="2">
        <v>5752.0</v>
      </c>
      <c r="K51" s="2">
        <v>9024.0</v>
      </c>
      <c r="L51" s="1"/>
      <c r="N51" s="4" t="str">
        <f>IFERROR(__xludf.DUMMYFUNCTION("TEXTJOIN("","", TRUE, FILTER($E$2:$E1000 &amp; $C$2:$C1000, $A$2:$A1000=A51, $B$2:$B1000=B51, $D$2:$D1000&lt;&gt;D51))"),"탑임성빈,정글지범진,미드박상호,원딜이창호,서폿김현수")</f>
        <v>탑임성빈,정글지범진,미드박상호,원딜이창호,서폿김현수</v>
      </c>
    </row>
    <row r="52">
      <c r="A52" s="3">
        <v>46019.0</v>
      </c>
      <c r="B52" s="1">
        <v>3.0</v>
      </c>
      <c r="C52" s="1" t="s">
        <v>33</v>
      </c>
      <c r="D52" s="1" t="s">
        <v>34</v>
      </c>
      <c r="E52" s="1" t="s">
        <v>17</v>
      </c>
      <c r="F52" s="1" t="s">
        <v>77</v>
      </c>
      <c r="G52" s="1">
        <v>1.0</v>
      </c>
      <c r="H52" s="1">
        <v>7.0</v>
      </c>
      <c r="I52" s="1">
        <v>3.0</v>
      </c>
      <c r="J52" s="6"/>
      <c r="K52" s="6"/>
      <c r="N52" s="4" t="str">
        <f>IFERROR(__xludf.DUMMYFUNCTION("TEXTJOIN("","", TRUE, FILTER($E$2:$E1000 &amp; $C$2:$C1000, $A$2:$A1000=A52, $B$2:$B1000=B52, $D$2:$D1000&lt;&gt;D52))"),"탑이진건,정글이석구,미드김응민,원딜정용운,서폿이세환")</f>
        <v>탑이진건,정글이석구,미드김응민,원딜정용운,서폿이세환</v>
      </c>
    </row>
    <row r="53">
      <c r="A53" s="3">
        <v>46019.0</v>
      </c>
      <c r="B53" s="1">
        <v>3.0</v>
      </c>
      <c r="C53" s="1" t="s">
        <v>22</v>
      </c>
      <c r="D53" s="1" t="s">
        <v>34</v>
      </c>
      <c r="E53" s="1" t="s">
        <v>23</v>
      </c>
      <c r="F53" s="1" t="s">
        <v>78</v>
      </c>
      <c r="G53" s="1">
        <v>4.0</v>
      </c>
      <c r="H53" s="1">
        <v>4.0</v>
      </c>
      <c r="I53" s="1">
        <v>6.0</v>
      </c>
      <c r="J53" s="6"/>
      <c r="K53" s="6"/>
      <c r="N53" s="4" t="str">
        <f>IFERROR(__xludf.DUMMYFUNCTION("TEXTJOIN("","", TRUE, FILTER($E$2:$E1000 &amp; $C$2:$C1000, $A$2:$A1000=A53, $B$2:$B1000=B53, $D$2:$D1000&lt;&gt;D53))"),"탑이진건,정글이석구,미드김응민,원딜정용운,서폿이세환")</f>
        <v>탑이진건,정글이석구,미드김응민,원딜정용운,서폿이세환</v>
      </c>
    </row>
    <row r="54">
      <c r="A54" s="3">
        <v>46019.0</v>
      </c>
      <c r="B54" s="1">
        <v>3.0</v>
      </c>
      <c r="C54" s="1" t="s">
        <v>15</v>
      </c>
      <c r="D54" s="1" t="s">
        <v>34</v>
      </c>
      <c r="E54" s="1" t="s">
        <v>19</v>
      </c>
      <c r="F54" s="1" t="s">
        <v>25</v>
      </c>
      <c r="G54" s="1">
        <v>7.0</v>
      </c>
      <c r="H54" s="1">
        <v>3.0</v>
      </c>
      <c r="I54" s="1">
        <v>2.0</v>
      </c>
      <c r="J54" s="6"/>
      <c r="K54" s="6"/>
      <c r="N54" s="4" t="str">
        <f>IFERROR(__xludf.DUMMYFUNCTION("TEXTJOIN("","", TRUE, FILTER($E$2:$E1000 &amp; $C$2:$C1000, $A$2:$A1000=A54, $B$2:$B1000=B54, $D$2:$D1000&lt;&gt;D54))"),"탑이진건,정글이석구,미드김응민,원딜정용운,서폿이세환")</f>
        <v>탑이진건,정글이석구,미드김응민,원딜정용운,서폿이세환</v>
      </c>
    </row>
    <row r="55">
      <c r="A55" s="3">
        <v>46019.0</v>
      </c>
      <c r="B55" s="1">
        <v>3.0</v>
      </c>
      <c r="C55" s="1" t="s">
        <v>39</v>
      </c>
      <c r="D55" s="1" t="s">
        <v>34</v>
      </c>
      <c r="E55" s="1" t="s">
        <v>29</v>
      </c>
      <c r="F55" s="1" t="s">
        <v>65</v>
      </c>
      <c r="G55" s="1">
        <v>4.0</v>
      </c>
      <c r="H55" s="1">
        <v>9.0</v>
      </c>
      <c r="I55" s="1">
        <v>9.0</v>
      </c>
      <c r="J55" s="6"/>
      <c r="K55" s="6"/>
      <c r="N55" s="4" t="str">
        <f>IFERROR(__xludf.DUMMYFUNCTION("TEXTJOIN("","", TRUE, FILTER($E$2:$E1000 &amp; $C$2:$C1000, $A$2:$A1000=A55, $B$2:$B1000=B55, $D$2:$D1000&lt;&gt;D55))"),"탑이진건,정글이석구,미드김응민,원딜정용운,서폿이세환")</f>
        <v>탑이진건,정글이석구,미드김응민,원딜정용운,서폿이세환</v>
      </c>
    </row>
    <row r="56">
      <c r="A56" s="3">
        <v>46019.0</v>
      </c>
      <c r="B56" s="1">
        <v>3.0</v>
      </c>
      <c r="C56" s="1" t="s">
        <v>41</v>
      </c>
      <c r="D56" s="1" t="s">
        <v>34</v>
      </c>
      <c r="E56" s="1" t="s">
        <v>31</v>
      </c>
      <c r="F56" s="1" t="s">
        <v>42</v>
      </c>
      <c r="G56" s="1">
        <v>3.0</v>
      </c>
      <c r="H56" s="1">
        <v>8.0</v>
      </c>
      <c r="I56" s="1">
        <v>11.0</v>
      </c>
      <c r="J56" s="6"/>
      <c r="K56" s="6"/>
      <c r="N56" s="4" t="str">
        <f>IFERROR(__xludf.DUMMYFUNCTION("TEXTJOIN("","", TRUE, FILTER($E$2:$E1000 &amp; $C$2:$C1000, $A$2:$A1000=A56, $B$2:$B1000=B56, $D$2:$D1000&lt;&gt;D56))"),"탑이진건,정글이석구,미드김응민,원딜정용운,서폿이세환")</f>
        <v>탑이진건,정글이석구,미드김응민,원딜정용운,서폿이세환</v>
      </c>
    </row>
    <row r="57">
      <c r="A57" s="3">
        <v>46019.0</v>
      </c>
      <c r="B57" s="1">
        <v>3.0</v>
      </c>
      <c r="C57" s="1" t="s">
        <v>43</v>
      </c>
      <c r="D57" s="1" t="s">
        <v>16</v>
      </c>
      <c r="E57" s="1" t="s">
        <v>17</v>
      </c>
      <c r="F57" s="1" t="s">
        <v>79</v>
      </c>
      <c r="G57" s="1">
        <v>7.0</v>
      </c>
      <c r="H57" s="1">
        <v>3.0</v>
      </c>
      <c r="I57" s="1">
        <v>5.0</v>
      </c>
      <c r="J57" s="6"/>
      <c r="K57" s="6"/>
      <c r="N57" s="4" t="str">
        <f>IFERROR(__xludf.DUMMYFUNCTION("TEXTJOIN("","", TRUE, FILTER($E$2:$E1000 &amp; $C$2:$C1000, $A$2:$A1000=A57, $B$2:$B1000=B57, $D$2:$D1000&lt;&gt;D57))"),"탑임성빈,정글지범진,미드박상호,원딜이창호,서폿김현수")</f>
        <v>탑임성빈,정글지범진,미드박상호,원딜이창호,서폿김현수</v>
      </c>
    </row>
    <row r="58">
      <c r="A58" s="3">
        <v>46019.0</v>
      </c>
      <c r="B58" s="1">
        <v>3.0</v>
      </c>
      <c r="C58" s="1" t="s">
        <v>45</v>
      </c>
      <c r="D58" s="1" t="s">
        <v>16</v>
      </c>
      <c r="E58" s="1" t="s">
        <v>23</v>
      </c>
      <c r="F58" s="1" t="s">
        <v>80</v>
      </c>
      <c r="G58" s="1">
        <v>7.0</v>
      </c>
      <c r="H58" s="1">
        <v>4.0</v>
      </c>
      <c r="I58" s="1">
        <v>10.0</v>
      </c>
      <c r="J58" s="6"/>
      <c r="K58" s="6"/>
      <c r="N58" s="4" t="str">
        <f>IFERROR(__xludf.DUMMYFUNCTION("TEXTJOIN("","", TRUE, FILTER($E$2:$E1000 &amp; $C$2:$C1000, $A$2:$A1000=A58, $B$2:$B1000=B58, $D$2:$D1000&lt;&gt;D58))"),"탑임성빈,정글지범진,미드박상호,원딜이창호,서폿김현수")</f>
        <v>탑임성빈,정글지범진,미드박상호,원딜이창호,서폿김현수</v>
      </c>
    </row>
    <row r="59">
      <c r="A59" s="3">
        <v>46019.0</v>
      </c>
      <c r="B59" s="1">
        <v>3.0</v>
      </c>
      <c r="C59" s="1" t="s">
        <v>38</v>
      </c>
      <c r="D59" s="1" t="s">
        <v>16</v>
      </c>
      <c r="E59" s="1" t="s">
        <v>19</v>
      </c>
      <c r="F59" s="1" t="s">
        <v>64</v>
      </c>
      <c r="G59" s="1">
        <v>7.0</v>
      </c>
      <c r="H59" s="1">
        <v>2.0</v>
      </c>
      <c r="I59" s="1">
        <v>7.0</v>
      </c>
      <c r="J59" s="6"/>
      <c r="K59" s="6"/>
      <c r="N59" s="4" t="str">
        <f>IFERROR(__xludf.DUMMYFUNCTION("TEXTJOIN("","", TRUE, FILTER($E$2:$E1000 &amp; $C$2:$C1000, $A$2:$A1000=A59, $B$2:$B1000=B59, $D$2:$D1000&lt;&gt;D59))"),"탑임성빈,정글지범진,미드박상호,원딜이창호,서폿김현수")</f>
        <v>탑임성빈,정글지범진,미드박상호,원딜이창호,서폿김현수</v>
      </c>
    </row>
    <row r="60">
      <c r="A60" s="3">
        <v>46019.0</v>
      </c>
      <c r="B60" s="1">
        <v>3.0</v>
      </c>
      <c r="C60" s="1" t="s">
        <v>28</v>
      </c>
      <c r="D60" s="1" t="s">
        <v>16</v>
      </c>
      <c r="E60" s="1" t="s">
        <v>29</v>
      </c>
      <c r="F60" s="1" t="s">
        <v>81</v>
      </c>
      <c r="G60" s="1">
        <v>8.0</v>
      </c>
      <c r="H60" s="1">
        <v>4.0</v>
      </c>
      <c r="I60" s="1">
        <v>9.0</v>
      </c>
      <c r="J60" s="6"/>
      <c r="K60" s="6"/>
      <c r="N60" s="4" t="str">
        <f>IFERROR(__xludf.DUMMYFUNCTION("TEXTJOIN("","", TRUE, FILTER($E$2:$E1000 &amp; $C$2:$C1000, $A$2:$A1000=A60, $B$2:$B1000=B60, $D$2:$D1000&lt;&gt;D60))"),"탑임성빈,정글지범진,미드박상호,원딜이창호,서폿김현수")</f>
        <v>탑임성빈,정글지범진,미드박상호,원딜이창호,서폿김현수</v>
      </c>
    </row>
    <row r="61">
      <c r="A61" s="3">
        <v>46019.0</v>
      </c>
      <c r="B61" s="1">
        <v>3.0</v>
      </c>
      <c r="C61" s="1" t="s">
        <v>21</v>
      </c>
      <c r="D61" s="1" t="s">
        <v>16</v>
      </c>
      <c r="E61" s="1" t="s">
        <v>31</v>
      </c>
      <c r="F61" s="1" t="s">
        <v>82</v>
      </c>
      <c r="G61" s="1">
        <v>2.0</v>
      </c>
      <c r="H61" s="1">
        <v>6.0</v>
      </c>
      <c r="I61" s="1">
        <v>14.0</v>
      </c>
      <c r="J61" s="6"/>
      <c r="K61" s="6"/>
      <c r="N61" s="4" t="str">
        <f>IFERROR(__xludf.DUMMYFUNCTION("TEXTJOIN("","", TRUE, FILTER($E$2:$E1000 &amp; $C$2:$C1000, $A$2:$A1000=A61, $B$2:$B1000=B61, $D$2:$D1000&lt;&gt;D61))"),"탑임성빈,정글지범진,미드박상호,원딜이창호,서폿김현수")</f>
        <v>탑임성빈,정글지범진,미드박상호,원딜이창호,서폿김현수</v>
      </c>
    </row>
    <row r="62">
      <c r="A62" s="7">
        <v>46377.0</v>
      </c>
      <c r="B62" s="1">
        <v>1.0</v>
      </c>
      <c r="C62" s="1" t="s">
        <v>33</v>
      </c>
      <c r="D62" s="1" t="s">
        <v>16</v>
      </c>
      <c r="E62" s="1" t="s">
        <v>17</v>
      </c>
      <c r="F62" s="1" t="s">
        <v>24</v>
      </c>
      <c r="G62" s="1">
        <v>5.0</v>
      </c>
      <c r="H62" s="1">
        <v>3.0</v>
      </c>
      <c r="I62" s="1">
        <v>14.0</v>
      </c>
      <c r="J62" s="2">
        <v>31501.0</v>
      </c>
      <c r="K62" s="2">
        <v>14346.0</v>
      </c>
      <c r="N62" s="4" t="str">
        <f>IFERROR(__xludf.DUMMYFUNCTION("TEXTJOIN("","", TRUE, FILTER($E$2:$E1000 &amp; $C$2:$C1000, $A$2:$A1000=A62, $B$2:$B1000=B62, $D$2:$D1000&lt;&gt;D62))"),"탑허지녕,정글이석구,미드김응민,원딜이진건,서폿김현수")</f>
        <v>탑허지녕,정글이석구,미드김응민,원딜이진건,서폿김현수</v>
      </c>
    </row>
    <row r="63">
      <c r="A63" s="7">
        <v>46377.0</v>
      </c>
      <c r="B63" s="1">
        <v>1.0</v>
      </c>
      <c r="C63" s="1" t="s">
        <v>22</v>
      </c>
      <c r="D63" s="1" t="s">
        <v>16</v>
      </c>
      <c r="E63" s="1" t="s">
        <v>23</v>
      </c>
      <c r="F63" s="1" t="s">
        <v>68</v>
      </c>
      <c r="G63" s="1">
        <v>5.0</v>
      </c>
      <c r="H63" s="1">
        <v>5.0</v>
      </c>
      <c r="I63" s="1">
        <v>18.0</v>
      </c>
      <c r="J63" s="2">
        <v>21663.0</v>
      </c>
      <c r="K63" s="2">
        <v>14134.0</v>
      </c>
      <c r="N63" s="4" t="str">
        <f>IFERROR(__xludf.DUMMYFUNCTION("TEXTJOIN("","", TRUE, FILTER($E$2:$E1000 &amp; $C$2:$C1000, $A$2:$A1000=A63, $B$2:$B1000=B63, $D$2:$D1000&lt;&gt;D63))"),"탑허지녕,정글이석구,미드김응민,원딜이진건,서폿김현수")</f>
        <v>탑허지녕,정글이석구,미드김응민,원딜이진건,서폿김현수</v>
      </c>
    </row>
    <row r="64">
      <c r="A64" s="7">
        <v>46377.0</v>
      </c>
      <c r="B64" s="1">
        <v>1.0</v>
      </c>
      <c r="C64" s="1" t="s">
        <v>15</v>
      </c>
      <c r="D64" s="1" t="s">
        <v>16</v>
      </c>
      <c r="E64" s="1" t="s">
        <v>19</v>
      </c>
      <c r="F64" s="1" t="s">
        <v>83</v>
      </c>
      <c r="G64" s="1">
        <v>8.0</v>
      </c>
      <c r="H64" s="1">
        <v>4.0</v>
      </c>
      <c r="I64" s="1">
        <v>17.0</v>
      </c>
      <c r="J64" s="2">
        <v>31946.0</v>
      </c>
      <c r="K64" s="2">
        <v>17276.0</v>
      </c>
      <c r="N64" s="4" t="str">
        <f>IFERROR(__xludf.DUMMYFUNCTION("TEXTJOIN("","", TRUE, FILTER($E$2:$E1000 &amp; $C$2:$C1000, $A$2:$A1000=A64, $B$2:$B1000=B64, $D$2:$D1000&lt;&gt;D64))"),"탑허지녕,정글이석구,미드김응민,원딜이진건,서폿김현수")</f>
        <v>탑허지녕,정글이석구,미드김응민,원딜이진건,서폿김현수</v>
      </c>
    </row>
    <row r="65">
      <c r="A65" s="7">
        <v>46377.0</v>
      </c>
      <c r="B65" s="1">
        <v>1.0</v>
      </c>
      <c r="C65" s="1" t="s">
        <v>28</v>
      </c>
      <c r="D65" s="1" t="s">
        <v>16</v>
      </c>
      <c r="E65" s="1" t="s">
        <v>29</v>
      </c>
      <c r="F65" s="1" t="s">
        <v>60</v>
      </c>
      <c r="G65" s="1">
        <v>15.0</v>
      </c>
      <c r="H65" s="1">
        <v>6.0</v>
      </c>
      <c r="I65" s="1">
        <v>8.0</v>
      </c>
      <c r="J65" s="2">
        <v>50964.0</v>
      </c>
      <c r="K65" s="2">
        <v>18228.0</v>
      </c>
      <c r="N65" s="4" t="str">
        <f>IFERROR(__xludf.DUMMYFUNCTION("TEXTJOIN("","", TRUE, FILTER($E$2:$E1000 &amp; $C$2:$C1000, $A$2:$A1000=A65, $B$2:$B1000=B65, $D$2:$D1000&lt;&gt;D65))"),"탑허지녕,정글이석구,미드김응민,원딜이진건,서폿김현수")</f>
        <v>탑허지녕,정글이석구,미드김응민,원딜이진건,서폿김현수</v>
      </c>
    </row>
    <row r="66">
      <c r="A66" s="7">
        <v>46377.0</v>
      </c>
      <c r="B66" s="1">
        <v>1.0</v>
      </c>
      <c r="C66" s="1" t="s">
        <v>21</v>
      </c>
      <c r="D66" s="1" t="s">
        <v>16</v>
      </c>
      <c r="E66" s="1" t="s">
        <v>31</v>
      </c>
      <c r="F66" s="1" t="s">
        <v>42</v>
      </c>
      <c r="G66" s="1">
        <v>1.0</v>
      </c>
      <c r="H66" s="1">
        <v>6.0</v>
      </c>
      <c r="I66" s="1">
        <v>11.0</v>
      </c>
      <c r="J66" s="2">
        <v>31501.0</v>
      </c>
      <c r="K66" s="2">
        <v>14346.0</v>
      </c>
      <c r="N66" s="4" t="str">
        <f>IFERROR(__xludf.DUMMYFUNCTION("TEXTJOIN("","", TRUE, FILTER($E$2:$E1000 &amp; $C$2:$C1000, $A$2:$A1000=A66, $B$2:$B1000=B66, $D$2:$D1000&lt;&gt;D66))"),"탑허지녕,정글이석구,미드김응민,원딜이진건,서폿김현수")</f>
        <v>탑허지녕,정글이석구,미드김응민,원딜이진건,서폿김현수</v>
      </c>
    </row>
    <row r="67">
      <c r="A67" s="7">
        <v>46377.0</v>
      </c>
      <c r="B67" s="1">
        <v>1.0</v>
      </c>
      <c r="C67" s="1" t="s">
        <v>46</v>
      </c>
      <c r="D67" s="1" t="s">
        <v>34</v>
      </c>
      <c r="E67" s="1" t="s">
        <v>17</v>
      </c>
      <c r="F67" s="1" t="s">
        <v>35</v>
      </c>
      <c r="G67" s="1">
        <v>3.0</v>
      </c>
      <c r="H67" s="1">
        <v>5.0</v>
      </c>
      <c r="I67" s="1">
        <v>6.0</v>
      </c>
      <c r="J67" s="2">
        <v>22650.0</v>
      </c>
      <c r="K67" s="2">
        <v>12763.0</v>
      </c>
      <c r="N67" s="4" t="str">
        <f>IFERROR(__xludf.DUMMYFUNCTION("TEXTJOIN("","", TRUE, FILTER($E$2:$E1000 &amp; $C$2:$C1000, $A$2:$A1000=A67, $B$2:$B1000=B67, $D$2:$D1000&lt;&gt;D67))"),"탑임성빈,정글지범진,미드박상호,원딜정용운,서폿이세환")</f>
        <v>탑임성빈,정글지범진,미드박상호,원딜정용운,서폿이세환</v>
      </c>
    </row>
    <row r="68">
      <c r="A68" s="7">
        <v>46377.0</v>
      </c>
      <c r="B68" s="1">
        <v>1.0</v>
      </c>
      <c r="C68" s="1" t="s">
        <v>45</v>
      </c>
      <c r="D68" s="1" t="s">
        <v>34</v>
      </c>
      <c r="E68" s="1" t="s">
        <v>23</v>
      </c>
      <c r="F68" s="1" t="s">
        <v>84</v>
      </c>
      <c r="G68" s="1">
        <v>3.0</v>
      </c>
      <c r="H68" s="1">
        <v>7.0</v>
      </c>
      <c r="I68" s="1">
        <v>10.0</v>
      </c>
      <c r="J68" s="2">
        <v>14727.0</v>
      </c>
      <c r="K68" s="2">
        <v>12633.0</v>
      </c>
      <c r="N68" s="4" t="str">
        <f>IFERROR(__xludf.DUMMYFUNCTION("TEXTJOIN("","", TRUE, FILTER($E$2:$E1000 &amp; $C$2:$C1000, $A$2:$A1000=A68, $B$2:$B1000=B68, $D$2:$D1000&lt;&gt;D68))"),"탑임성빈,정글지범진,미드박상호,원딜정용운,서폿이세환")</f>
        <v>탑임성빈,정글지범진,미드박상호,원딜정용운,서폿이세환</v>
      </c>
    </row>
    <row r="69">
      <c r="A69" s="7">
        <v>46377.0</v>
      </c>
      <c r="B69" s="1">
        <v>1.0</v>
      </c>
      <c r="C69" s="1" t="s">
        <v>38</v>
      </c>
      <c r="D69" s="1" t="s">
        <v>34</v>
      </c>
      <c r="E69" s="1" t="s">
        <v>19</v>
      </c>
      <c r="F69" s="1" t="s">
        <v>25</v>
      </c>
      <c r="G69" s="1">
        <v>12.0</v>
      </c>
      <c r="H69" s="1">
        <v>9.0</v>
      </c>
      <c r="I69" s="1">
        <v>6.0</v>
      </c>
      <c r="J69" s="2">
        <v>36268.0</v>
      </c>
      <c r="K69" s="2">
        <v>20365.0</v>
      </c>
      <c r="N69" s="4" t="str">
        <f>IFERROR(__xludf.DUMMYFUNCTION("TEXTJOIN("","", TRUE, FILTER($E$2:$E1000 &amp; $C$2:$C1000, $A$2:$A1000=A69, $B$2:$B1000=B69, $D$2:$D1000&lt;&gt;D69))"),"탑임성빈,정글지범진,미드박상호,원딜정용운,서폿이세환")</f>
        <v>탑임성빈,정글지범진,미드박상호,원딜정용운,서폿이세환</v>
      </c>
    </row>
    <row r="70">
      <c r="A70" s="7">
        <v>46377.0</v>
      </c>
      <c r="B70" s="1">
        <v>1.0</v>
      </c>
      <c r="C70" s="1" t="s">
        <v>43</v>
      </c>
      <c r="D70" s="1" t="s">
        <v>34</v>
      </c>
      <c r="E70" s="1" t="s">
        <v>29</v>
      </c>
      <c r="F70" s="1" t="s">
        <v>85</v>
      </c>
      <c r="G70" s="1">
        <v>3.0</v>
      </c>
      <c r="H70" s="1">
        <v>6.0</v>
      </c>
      <c r="I70" s="1">
        <v>7.0</v>
      </c>
      <c r="J70" s="2">
        <v>22640.0</v>
      </c>
      <c r="K70" s="2">
        <v>13396.0</v>
      </c>
      <c r="N70" s="4" t="str">
        <f>IFERROR(__xludf.DUMMYFUNCTION("TEXTJOIN("","", TRUE, FILTER($E$2:$E1000 &amp; $C$2:$C1000, $A$2:$A1000=A70, $B$2:$B1000=B70, $D$2:$D1000&lt;&gt;D70))"),"탑임성빈,정글지범진,미드박상호,원딜정용운,서폿이세환")</f>
        <v>탑임성빈,정글지범진,미드박상호,원딜정용운,서폿이세환</v>
      </c>
    </row>
    <row r="71">
      <c r="A71" s="7">
        <v>46377.0</v>
      </c>
      <c r="B71" s="1">
        <v>1.0</v>
      </c>
      <c r="C71" s="1" t="s">
        <v>41</v>
      </c>
      <c r="D71" s="1" t="s">
        <v>34</v>
      </c>
      <c r="E71" s="1" t="s">
        <v>31</v>
      </c>
      <c r="F71" s="1" t="s">
        <v>61</v>
      </c>
      <c r="G71" s="1">
        <v>3.0</v>
      </c>
      <c r="H71" s="1">
        <v>7.0</v>
      </c>
      <c r="I71" s="1">
        <v>13.0</v>
      </c>
      <c r="J71" s="2">
        <v>22464.0</v>
      </c>
      <c r="K71" s="2">
        <v>10213.0</v>
      </c>
      <c r="N71" s="4" t="str">
        <f>IFERROR(__xludf.DUMMYFUNCTION("TEXTJOIN("","", TRUE, FILTER($E$2:$E1000 &amp; $C$2:$C1000, $A$2:$A1000=A71, $B$2:$B1000=B71, $D$2:$D1000&lt;&gt;D71))"),"탑임성빈,정글지범진,미드박상호,원딜정용운,서폿이세환")</f>
        <v>탑임성빈,정글지범진,미드박상호,원딜정용운,서폿이세환</v>
      </c>
    </row>
    <row r="72">
      <c r="A72" s="7">
        <v>46377.0</v>
      </c>
      <c r="B72" s="1">
        <v>2.0</v>
      </c>
      <c r="C72" s="1" t="s">
        <v>33</v>
      </c>
      <c r="D72" s="1" t="s">
        <v>34</v>
      </c>
      <c r="E72" s="1" t="s">
        <v>17</v>
      </c>
      <c r="F72" s="1" t="s">
        <v>86</v>
      </c>
      <c r="G72" s="1">
        <v>1.0</v>
      </c>
      <c r="H72" s="1">
        <v>4.0</v>
      </c>
      <c r="I72" s="1">
        <v>0.0</v>
      </c>
      <c r="J72" s="2">
        <v>7108.0</v>
      </c>
      <c r="K72" s="2">
        <v>4384.0</v>
      </c>
      <c r="N72" s="4" t="str">
        <f>IFERROR(__xludf.DUMMYFUNCTION("TEXTJOIN("","", TRUE, FILTER($E$2:$E1000 &amp; $C$2:$C1000, $A$2:$A1000=A72, $B$2:$B1000=B72, $D$2:$D1000&lt;&gt;D72))"),"탑허지녕,정글이석구,미드박상호,원딜이진건,서폿김현수")</f>
        <v>탑허지녕,정글이석구,미드박상호,원딜이진건,서폿김현수</v>
      </c>
    </row>
    <row r="73">
      <c r="A73" s="7">
        <v>46377.0</v>
      </c>
      <c r="B73" s="1">
        <v>2.0</v>
      </c>
      <c r="C73" s="1" t="s">
        <v>22</v>
      </c>
      <c r="D73" s="1" t="s">
        <v>34</v>
      </c>
      <c r="E73" s="1" t="s">
        <v>23</v>
      </c>
      <c r="F73" s="1" t="s">
        <v>35</v>
      </c>
      <c r="G73" s="1">
        <v>1.0</v>
      </c>
      <c r="H73" s="1">
        <v>6.0</v>
      </c>
      <c r="I73" s="1">
        <v>1.0</v>
      </c>
      <c r="J73" s="2">
        <v>6674.0</v>
      </c>
      <c r="K73" s="2">
        <v>4989.0</v>
      </c>
      <c r="N73" s="4" t="str">
        <f>IFERROR(__xludf.DUMMYFUNCTION("TEXTJOIN("","", TRUE, FILTER($E$2:$E1000 &amp; $C$2:$C1000, $A$2:$A1000=A73, $B$2:$B1000=B73, $D$2:$D1000&lt;&gt;D73))"),"탑허지녕,정글이석구,미드박상호,원딜이진건,서폿김현수")</f>
        <v>탑허지녕,정글이석구,미드박상호,원딜이진건,서폿김현수</v>
      </c>
    </row>
    <row r="74">
      <c r="A74" s="7">
        <v>46377.0</v>
      </c>
      <c r="B74" s="1">
        <v>2.0</v>
      </c>
      <c r="C74" s="1" t="s">
        <v>38</v>
      </c>
      <c r="D74" s="1" t="s">
        <v>34</v>
      </c>
      <c r="E74" s="1" t="s">
        <v>19</v>
      </c>
      <c r="F74" s="1" t="s">
        <v>25</v>
      </c>
      <c r="G74" s="1">
        <v>0.0</v>
      </c>
      <c r="H74" s="1">
        <v>3.0</v>
      </c>
      <c r="I74" s="1">
        <v>1.0</v>
      </c>
      <c r="J74" s="2">
        <v>4984.0</v>
      </c>
      <c r="K74" s="2">
        <v>5726.0</v>
      </c>
      <c r="N74" s="4" t="str">
        <f>IFERROR(__xludf.DUMMYFUNCTION("TEXTJOIN("","", TRUE, FILTER($E$2:$E1000 &amp; $C$2:$C1000, $A$2:$A1000=A74, $B$2:$B1000=B74, $D$2:$D1000&lt;&gt;D74))"),"탑허지녕,정글이석구,미드박상호,원딜이진건,서폿김현수")</f>
        <v>탑허지녕,정글이석구,미드박상호,원딜이진건,서폿김현수</v>
      </c>
    </row>
    <row r="75">
      <c r="A75" s="7">
        <v>46377.0</v>
      </c>
      <c r="B75" s="1">
        <v>2.0</v>
      </c>
      <c r="C75" s="1" t="s">
        <v>28</v>
      </c>
      <c r="D75" s="1" t="s">
        <v>34</v>
      </c>
      <c r="E75" s="1" t="s">
        <v>29</v>
      </c>
      <c r="F75" s="1" t="s">
        <v>65</v>
      </c>
      <c r="G75" s="1">
        <v>0.0</v>
      </c>
      <c r="H75" s="1">
        <v>5.0</v>
      </c>
      <c r="I75" s="1">
        <v>0.0</v>
      </c>
      <c r="J75" s="2">
        <v>4543.0</v>
      </c>
      <c r="K75" s="2">
        <v>3911.0</v>
      </c>
      <c r="N75" s="4" t="str">
        <f>IFERROR(__xludf.DUMMYFUNCTION("TEXTJOIN("","", TRUE, FILTER($E$2:$E1000 &amp; $C$2:$C1000, $A$2:$A1000=A75, $B$2:$B1000=B75, $D$2:$D1000&lt;&gt;D75))"),"탑허지녕,정글이석구,미드박상호,원딜이진건,서폿김현수")</f>
        <v>탑허지녕,정글이석구,미드박상호,원딜이진건,서폿김현수</v>
      </c>
    </row>
    <row r="76">
      <c r="A76" s="7">
        <v>46377.0</v>
      </c>
      <c r="B76" s="1">
        <v>2.0</v>
      </c>
      <c r="C76" s="1" t="s">
        <v>21</v>
      </c>
      <c r="D76" s="1" t="s">
        <v>34</v>
      </c>
      <c r="E76" s="1" t="s">
        <v>31</v>
      </c>
      <c r="F76" s="1" t="s">
        <v>87</v>
      </c>
      <c r="G76" s="1">
        <v>0.0</v>
      </c>
      <c r="H76" s="1">
        <v>4.0</v>
      </c>
      <c r="I76" s="1">
        <v>0.0</v>
      </c>
      <c r="J76" s="2">
        <v>3140.0</v>
      </c>
      <c r="K76" s="2">
        <v>3375.0</v>
      </c>
      <c r="N76" s="4" t="str">
        <f>IFERROR(__xludf.DUMMYFUNCTION("TEXTJOIN("","", TRUE, FILTER($E$2:$E1000 &amp; $C$2:$C1000, $A$2:$A1000=A76, $B$2:$B1000=B76, $D$2:$D1000&lt;&gt;D76))"),"탑허지녕,정글이석구,미드박상호,원딜이진건,서폿김현수")</f>
        <v>탑허지녕,정글이석구,미드박상호,원딜이진건,서폿김현수</v>
      </c>
    </row>
    <row r="77">
      <c r="A77" s="7">
        <v>46377.0</v>
      </c>
      <c r="B77" s="1">
        <v>2.0</v>
      </c>
      <c r="C77" s="1" t="s">
        <v>46</v>
      </c>
      <c r="D77" s="1" t="s">
        <v>16</v>
      </c>
      <c r="E77" s="1" t="s">
        <v>17</v>
      </c>
      <c r="F77" s="1" t="s">
        <v>88</v>
      </c>
      <c r="G77" s="1">
        <v>3.0</v>
      </c>
      <c r="H77" s="1">
        <v>1.0</v>
      </c>
      <c r="I77" s="1">
        <v>3.0</v>
      </c>
      <c r="J77" s="2">
        <v>9969.0</v>
      </c>
      <c r="K77" s="2">
        <v>5899.0</v>
      </c>
      <c r="N77" s="4" t="str">
        <f>IFERROR(__xludf.DUMMYFUNCTION("TEXTJOIN("","", TRUE, FILTER($E$2:$E1000 &amp; $C$2:$C1000, $A$2:$A1000=A77, $B$2:$B1000=B77, $D$2:$D1000&lt;&gt;D77))"),"탑임성빈,정글지범진,미드김응민,원딜정용운,서폿이세환")</f>
        <v>탑임성빈,정글지범진,미드김응민,원딜정용운,서폿이세환</v>
      </c>
    </row>
    <row r="78">
      <c r="A78" s="7">
        <v>46377.0</v>
      </c>
      <c r="B78" s="1">
        <v>2.0</v>
      </c>
      <c r="C78" s="1" t="s">
        <v>45</v>
      </c>
      <c r="D78" s="1" t="s">
        <v>16</v>
      </c>
      <c r="E78" s="1" t="s">
        <v>23</v>
      </c>
      <c r="F78" s="1" t="s">
        <v>63</v>
      </c>
      <c r="G78" s="1">
        <v>3.0</v>
      </c>
      <c r="H78" s="1">
        <v>0.0</v>
      </c>
      <c r="I78" s="1">
        <v>12.0</v>
      </c>
      <c r="J78" s="2">
        <v>7758.0</v>
      </c>
      <c r="K78" s="2">
        <v>6799.0</v>
      </c>
      <c r="N78" s="4" t="str">
        <f>IFERROR(__xludf.DUMMYFUNCTION("TEXTJOIN("","", TRUE, FILTER($E$2:$E1000 &amp; $C$2:$C1000, $A$2:$A1000=A78, $B$2:$B1000=B78, $D$2:$D1000&lt;&gt;D78))"),"탑임성빈,정글지범진,미드김응민,원딜정용운,서폿이세환")</f>
        <v>탑임성빈,정글지범진,미드김응민,원딜정용운,서폿이세환</v>
      </c>
    </row>
    <row r="79">
      <c r="A79" s="7">
        <v>46377.0</v>
      </c>
      <c r="B79" s="1">
        <v>2.0</v>
      </c>
      <c r="C79" s="1" t="s">
        <v>15</v>
      </c>
      <c r="D79" s="1" t="s">
        <v>16</v>
      </c>
      <c r="E79" s="1" t="s">
        <v>19</v>
      </c>
      <c r="F79" s="1" t="s">
        <v>83</v>
      </c>
      <c r="G79" s="1">
        <v>3.0</v>
      </c>
      <c r="H79" s="1">
        <v>0.0</v>
      </c>
      <c r="I79" s="1">
        <v>11.0</v>
      </c>
      <c r="J79" s="2">
        <v>5991.0</v>
      </c>
      <c r="K79" s="2">
        <v>6615.0</v>
      </c>
      <c r="N79" s="4" t="str">
        <f>IFERROR(__xludf.DUMMYFUNCTION("TEXTJOIN("","", TRUE, FILTER($E$2:$E1000 &amp; $C$2:$C1000, $A$2:$A1000=A79, $B$2:$B1000=B79, $D$2:$D1000&lt;&gt;D79))"),"탑임성빈,정글지범진,미드김응민,원딜정용운,서폿이세환")</f>
        <v>탑임성빈,정글지범진,미드김응민,원딜정용운,서폿이세환</v>
      </c>
    </row>
    <row r="80">
      <c r="A80" s="7">
        <v>46377.0</v>
      </c>
      <c r="B80" s="1">
        <v>2.0</v>
      </c>
      <c r="C80" s="1" t="s">
        <v>43</v>
      </c>
      <c r="D80" s="1" t="s">
        <v>16</v>
      </c>
      <c r="E80" s="1" t="s">
        <v>29</v>
      </c>
      <c r="F80" s="1" t="s">
        <v>85</v>
      </c>
      <c r="G80" s="1">
        <v>8.0</v>
      </c>
      <c r="H80" s="1">
        <v>0.0</v>
      </c>
      <c r="I80" s="1">
        <v>4.0</v>
      </c>
      <c r="J80" s="2">
        <v>12598.0</v>
      </c>
      <c r="K80" s="2">
        <v>8135.0</v>
      </c>
      <c r="N80" s="4" t="str">
        <f>IFERROR(__xludf.DUMMYFUNCTION("TEXTJOIN("","", TRUE, FILTER($E$2:$E1000 &amp; $C$2:$C1000, $A$2:$A1000=A80, $B$2:$B1000=B80, $D$2:$D1000&lt;&gt;D80))"),"탑임성빈,정글지범진,미드김응민,원딜정용운,서폿이세환")</f>
        <v>탑임성빈,정글지범진,미드김응민,원딜정용운,서폿이세환</v>
      </c>
    </row>
    <row r="81">
      <c r="A81" s="7">
        <v>46377.0</v>
      </c>
      <c r="B81" s="1">
        <v>2.0</v>
      </c>
      <c r="C81" s="1" t="s">
        <v>41</v>
      </c>
      <c r="D81" s="1" t="s">
        <v>16</v>
      </c>
      <c r="E81" s="1" t="s">
        <v>31</v>
      </c>
      <c r="F81" s="1" t="s">
        <v>42</v>
      </c>
      <c r="G81" s="1">
        <v>5.0</v>
      </c>
      <c r="H81" s="1">
        <v>1.0</v>
      </c>
      <c r="I81" s="1">
        <v>11.0</v>
      </c>
      <c r="J81" s="2">
        <v>9770.0</v>
      </c>
      <c r="K81" s="2">
        <v>5549.0</v>
      </c>
      <c r="N81" s="4" t="str">
        <f>IFERROR(__xludf.DUMMYFUNCTION("TEXTJOIN("","", TRUE, FILTER($E$2:$E1000 &amp; $C$2:$C1000, $A$2:$A1000=A81, $B$2:$B1000=B81, $D$2:$D1000&lt;&gt;D81))"),"탑임성빈,정글지범진,미드김응민,원딜정용운,서폿이세환")</f>
        <v>탑임성빈,정글지범진,미드김응민,원딜정용운,서폿이세환</v>
      </c>
    </row>
    <row r="82">
      <c r="A82" s="7">
        <v>46377.0</v>
      </c>
      <c r="B82" s="1">
        <v>3.0</v>
      </c>
      <c r="C82" s="1" t="s">
        <v>33</v>
      </c>
      <c r="D82" s="1" t="s">
        <v>34</v>
      </c>
      <c r="E82" s="1" t="s">
        <v>17</v>
      </c>
      <c r="F82" s="1" t="s">
        <v>77</v>
      </c>
      <c r="G82" s="1">
        <v>1.0</v>
      </c>
      <c r="H82" s="1">
        <v>6.0</v>
      </c>
      <c r="I82" s="1">
        <v>0.0</v>
      </c>
      <c r="J82" s="2">
        <v>11704.0</v>
      </c>
      <c r="K82" s="2">
        <v>8720.0</v>
      </c>
      <c r="N82" s="4" t="str">
        <f>IFERROR(__xludf.DUMMYFUNCTION("TEXTJOIN("","", TRUE, FILTER($E$2:$E1000 &amp; $C$2:$C1000, $A$2:$A1000=A82, $B$2:$B1000=B82, $D$2:$D1000&lt;&gt;D82))"),"탑허지녕,정글이석구,미드박상호,원딜이진건,서폿김현수")</f>
        <v>탑허지녕,정글이석구,미드박상호,원딜이진건,서폿김현수</v>
      </c>
    </row>
    <row r="83">
      <c r="A83" s="7">
        <v>46377.0</v>
      </c>
      <c r="B83" s="1">
        <v>3.0</v>
      </c>
      <c r="C83" s="1" t="s">
        <v>22</v>
      </c>
      <c r="D83" s="1" t="s">
        <v>34</v>
      </c>
      <c r="E83" s="1" t="s">
        <v>23</v>
      </c>
      <c r="F83" s="1" t="s">
        <v>78</v>
      </c>
      <c r="G83" s="1">
        <v>1.0</v>
      </c>
      <c r="H83" s="1">
        <v>6.0</v>
      </c>
      <c r="I83" s="1">
        <v>3.0</v>
      </c>
      <c r="J83" s="2">
        <v>9198.0</v>
      </c>
      <c r="K83" s="2">
        <v>7788.0</v>
      </c>
      <c r="N83" s="4" t="str">
        <f>IFERROR(__xludf.DUMMYFUNCTION("TEXTJOIN("","", TRUE, FILTER($E$2:$E1000 &amp; $C$2:$C1000, $A$2:$A1000=A83, $B$2:$B1000=B83, $D$2:$D1000&lt;&gt;D83))"),"탑허지녕,정글이석구,미드박상호,원딜이진건,서폿김현수")</f>
        <v>탑허지녕,정글이석구,미드박상호,원딜이진건,서폿김현수</v>
      </c>
    </row>
    <row r="84">
      <c r="A84" s="7">
        <v>46377.0</v>
      </c>
      <c r="B84" s="1">
        <v>3.0</v>
      </c>
      <c r="C84" s="1" t="s">
        <v>38</v>
      </c>
      <c r="D84" s="1" t="s">
        <v>34</v>
      </c>
      <c r="E84" s="1" t="s">
        <v>19</v>
      </c>
      <c r="F84" s="1" t="s">
        <v>61</v>
      </c>
      <c r="G84" s="1">
        <v>2.0</v>
      </c>
      <c r="H84" s="1">
        <v>0.0</v>
      </c>
      <c r="I84" s="1">
        <v>5.0</v>
      </c>
      <c r="J84" s="2">
        <v>19985.0</v>
      </c>
      <c r="K84" s="2">
        <v>9930.0</v>
      </c>
      <c r="N84" s="4" t="str">
        <f>IFERROR(__xludf.DUMMYFUNCTION("TEXTJOIN("","", TRUE, FILTER($E$2:$E1000 &amp; $C$2:$C1000, $A$2:$A1000=A84, $B$2:$B1000=B84, $D$2:$D1000&lt;&gt;D84))"),"탑허지녕,정글이석구,미드박상호,원딜이진건,서폿김현수")</f>
        <v>탑허지녕,정글이석구,미드박상호,원딜이진건,서폿김현수</v>
      </c>
    </row>
    <row r="85">
      <c r="A85" s="7">
        <v>46377.0</v>
      </c>
      <c r="B85" s="1">
        <v>3.0</v>
      </c>
      <c r="C85" s="1" t="s">
        <v>28</v>
      </c>
      <c r="D85" s="1" t="s">
        <v>34</v>
      </c>
      <c r="E85" s="1" t="s">
        <v>29</v>
      </c>
      <c r="F85" s="1" t="s">
        <v>85</v>
      </c>
      <c r="G85" s="1">
        <v>5.0</v>
      </c>
      <c r="H85" s="1">
        <v>4.0</v>
      </c>
      <c r="I85" s="1">
        <v>2.0</v>
      </c>
      <c r="J85" s="2">
        <v>19621.0</v>
      </c>
      <c r="K85" s="2">
        <v>10923.0</v>
      </c>
      <c r="N85" s="4" t="str">
        <f>IFERROR(__xludf.DUMMYFUNCTION("TEXTJOIN("","", TRUE, FILTER($E$2:$E1000 &amp; $C$2:$C1000, $A$2:$A1000=A85, $B$2:$B1000=B85, $D$2:$D1000&lt;&gt;D85))"),"탑허지녕,정글이석구,미드박상호,원딜이진건,서폿김현수")</f>
        <v>탑허지녕,정글이석구,미드박상호,원딜이진건,서폿김현수</v>
      </c>
    </row>
    <row r="86">
      <c r="A86" s="7">
        <v>46377.0</v>
      </c>
      <c r="B86" s="1">
        <v>3.0</v>
      </c>
      <c r="C86" s="1" t="s">
        <v>21</v>
      </c>
      <c r="D86" s="1" t="s">
        <v>34</v>
      </c>
      <c r="E86" s="1" t="s">
        <v>31</v>
      </c>
      <c r="F86" s="1" t="s">
        <v>42</v>
      </c>
      <c r="G86" s="1">
        <v>1.0</v>
      </c>
      <c r="H86" s="1">
        <v>6.0</v>
      </c>
      <c r="I86" s="1">
        <v>7.0</v>
      </c>
      <c r="J86" s="2">
        <v>9906.0</v>
      </c>
      <c r="K86" s="2">
        <v>6259.0</v>
      </c>
      <c r="N86" s="4" t="str">
        <f>IFERROR(__xludf.DUMMYFUNCTION("TEXTJOIN("","", TRUE, FILTER($E$2:$E1000 &amp; $C$2:$C1000, $A$2:$A1000=A86, $B$2:$B1000=B86, $D$2:$D1000&lt;&gt;D86))"),"탑허지녕,정글이석구,미드박상호,원딜이진건,서폿김현수")</f>
        <v>탑허지녕,정글이석구,미드박상호,원딜이진건,서폿김현수</v>
      </c>
    </row>
    <row r="87">
      <c r="A87" s="7">
        <v>46377.0</v>
      </c>
      <c r="B87" s="1">
        <v>3.0</v>
      </c>
      <c r="C87" s="1" t="s">
        <v>46</v>
      </c>
      <c r="D87" s="1" t="s">
        <v>16</v>
      </c>
      <c r="E87" s="1" t="s">
        <v>17</v>
      </c>
      <c r="F87" s="1" t="s">
        <v>88</v>
      </c>
      <c r="G87" s="1">
        <v>3.0</v>
      </c>
      <c r="H87" s="1">
        <v>0.0</v>
      </c>
      <c r="I87" s="1">
        <v>3.0</v>
      </c>
      <c r="J87" s="2">
        <v>10793.0</v>
      </c>
      <c r="K87" s="2">
        <v>9172.0</v>
      </c>
      <c r="N87" s="4" t="str">
        <f>IFERROR(__xludf.DUMMYFUNCTION("TEXTJOIN("","", TRUE, FILTER($E$2:$E1000 &amp; $C$2:$C1000, $A$2:$A1000=A87, $B$2:$B1000=B87, $D$2:$D1000&lt;&gt;D87))"),"탑임성빈,정글지범진,미드김응민,원딜정용운,서폿이세환")</f>
        <v>탑임성빈,정글지범진,미드김응민,원딜정용운,서폿이세환</v>
      </c>
    </row>
    <row r="88">
      <c r="A88" s="7">
        <v>46377.0</v>
      </c>
      <c r="B88" s="1">
        <v>3.0</v>
      </c>
      <c r="C88" s="1" t="s">
        <v>45</v>
      </c>
      <c r="D88" s="1" t="s">
        <v>16</v>
      </c>
      <c r="E88" s="1" t="s">
        <v>23</v>
      </c>
      <c r="F88" s="1" t="s">
        <v>80</v>
      </c>
      <c r="G88" s="1">
        <v>6.0</v>
      </c>
      <c r="H88" s="1">
        <v>2.0</v>
      </c>
      <c r="I88" s="1">
        <v>11.0</v>
      </c>
      <c r="J88" s="2">
        <v>17540.0</v>
      </c>
      <c r="K88" s="2">
        <v>10873.0</v>
      </c>
      <c r="N88" s="4" t="str">
        <f>IFERROR(__xludf.DUMMYFUNCTION("TEXTJOIN("","", TRUE, FILTER($E$2:$E1000 &amp; $C$2:$C1000, $A$2:$A1000=A88, $B$2:$B1000=B88, $D$2:$D1000&lt;&gt;D88))"),"탑임성빈,정글지범진,미드김응민,원딜정용운,서폿이세환")</f>
        <v>탑임성빈,정글지범진,미드김응민,원딜정용운,서폿이세환</v>
      </c>
    </row>
    <row r="89">
      <c r="A89" s="7">
        <v>46377.0</v>
      </c>
      <c r="B89" s="1">
        <v>3.0</v>
      </c>
      <c r="C89" s="1" t="s">
        <v>15</v>
      </c>
      <c r="D89" s="1" t="s">
        <v>16</v>
      </c>
      <c r="E89" s="1" t="s">
        <v>19</v>
      </c>
      <c r="F89" s="1" t="s">
        <v>18</v>
      </c>
      <c r="G89" s="1">
        <v>6.0</v>
      </c>
      <c r="H89" s="1">
        <v>3.0</v>
      </c>
      <c r="I89" s="1">
        <v>5.0</v>
      </c>
      <c r="J89" s="2">
        <v>14729.0</v>
      </c>
      <c r="K89" s="2">
        <v>9789.0</v>
      </c>
      <c r="N89" s="4" t="str">
        <f>IFERROR(__xludf.DUMMYFUNCTION("TEXTJOIN("","", TRUE, FILTER($E$2:$E1000 &amp; $C$2:$C1000, $A$2:$A1000=A89, $B$2:$B1000=B89, $D$2:$D1000&lt;&gt;D89))"),"탑임성빈,정글지범진,미드김응민,원딜정용운,서폿이세환")</f>
        <v>탑임성빈,정글지범진,미드김응민,원딜정용운,서폿이세환</v>
      </c>
    </row>
    <row r="90">
      <c r="A90" s="7">
        <v>46377.0</v>
      </c>
      <c r="B90" s="1">
        <v>3.0</v>
      </c>
      <c r="C90" s="1" t="s">
        <v>43</v>
      </c>
      <c r="D90" s="1" t="s">
        <v>16</v>
      </c>
      <c r="E90" s="1" t="s">
        <v>29</v>
      </c>
      <c r="F90" s="1" t="s">
        <v>60</v>
      </c>
      <c r="G90" s="1">
        <v>3.0</v>
      </c>
      <c r="H90" s="1">
        <v>3.0</v>
      </c>
      <c r="I90" s="1">
        <v>7.0</v>
      </c>
      <c r="J90" s="2">
        <v>10166.0</v>
      </c>
      <c r="K90" s="2">
        <v>11323.0</v>
      </c>
      <c r="N90" s="4" t="str">
        <f>IFERROR(__xludf.DUMMYFUNCTION("TEXTJOIN("","", TRUE, FILTER($E$2:$E1000 &amp; $C$2:$C1000, $A$2:$A1000=A90, $B$2:$B1000=B90, $D$2:$D1000&lt;&gt;D90))"),"탑임성빈,정글지범진,미드김응민,원딜정용운,서폿이세환")</f>
        <v>탑임성빈,정글지범진,미드김응민,원딜정용운,서폿이세환</v>
      </c>
    </row>
    <row r="91">
      <c r="A91" s="7">
        <v>46377.0</v>
      </c>
      <c r="B91" s="1">
        <v>3.0</v>
      </c>
      <c r="C91" s="1" t="s">
        <v>41</v>
      </c>
      <c r="D91" s="1" t="s">
        <v>16</v>
      </c>
      <c r="E91" s="1" t="s">
        <v>31</v>
      </c>
      <c r="F91" s="1" t="s">
        <v>89</v>
      </c>
      <c r="G91" s="1">
        <v>4.0</v>
      </c>
      <c r="H91" s="1">
        <v>2.0</v>
      </c>
      <c r="I91" s="1">
        <v>14.0</v>
      </c>
      <c r="J91" s="2">
        <v>11508.0</v>
      </c>
      <c r="K91" s="2">
        <v>7851.0</v>
      </c>
      <c r="N91" s="4" t="str">
        <f>IFERROR(__xludf.DUMMYFUNCTION("TEXTJOIN("","", TRUE, FILTER($E$2:$E1000 &amp; $C$2:$C1000, $A$2:$A1000=A91, $B$2:$B1000=B91, $D$2:$D1000&lt;&gt;D91))"),"탑임성빈,정글지범진,미드김응민,원딜정용운,서폿이세환")</f>
        <v>탑임성빈,정글지범진,미드김응민,원딜정용운,서폿이세환</v>
      </c>
    </row>
    <row r="92">
      <c r="A92" s="7">
        <v>46033.0</v>
      </c>
      <c r="B92" s="1">
        <v>1.0</v>
      </c>
      <c r="C92" s="1" t="s">
        <v>43</v>
      </c>
      <c r="D92" s="1" t="s">
        <v>16</v>
      </c>
      <c r="E92" s="1" t="s">
        <v>17</v>
      </c>
      <c r="F92" s="1" t="s">
        <v>90</v>
      </c>
      <c r="G92" s="1">
        <v>0.0</v>
      </c>
      <c r="H92" s="1">
        <v>4.0</v>
      </c>
      <c r="I92" s="1">
        <v>5.0</v>
      </c>
      <c r="J92" s="6"/>
      <c r="K92" s="2">
        <v>6025.0</v>
      </c>
      <c r="N92" s="4" t="str">
        <f>IFERROR(__xludf.DUMMYFUNCTION("TEXTJOIN("","", TRUE, FILTER($E$2:$E1000 &amp; $C$2:$C1000, $A$2:$A1000=A92, $B$2:$B1000=B92, $D$2:$D1000&lt;&gt;D92))"),"탑장동신,정글심재현,미드김응민,원딜정용운,서폿김현수")</f>
        <v>탑장동신,정글심재현,미드김응민,원딜정용운,서폿김현수</v>
      </c>
    </row>
    <row r="93">
      <c r="A93" s="7">
        <v>46033.0</v>
      </c>
      <c r="B93" s="1">
        <v>1.0</v>
      </c>
      <c r="C93" s="1" t="s">
        <v>22</v>
      </c>
      <c r="D93" s="1" t="s">
        <v>16</v>
      </c>
      <c r="E93" s="1" t="s">
        <v>23</v>
      </c>
      <c r="F93" s="1" t="s">
        <v>44</v>
      </c>
      <c r="G93" s="1">
        <v>5.0</v>
      </c>
      <c r="H93" s="1">
        <v>1.0</v>
      </c>
      <c r="I93" s="1">
        <v>6.0</v>
      </c>
      <c r="J93" s="6"/>
      <c r="K93" s="2">
        <v>8937.0</v>
      </c>
      <c r="N93" s="4" t="str">
        <f>IFERROR(__xludf.DUMMYFUNCTION("TEXTJOIN("","", TRUE, FILTER($E$2:$E1000 &amp; $C$2:$C1000, $A$2:$A1000=A93, $B$2:$B1000=B93, $D$2:$D1000&lt;&gt;D93))"),"탑장동신,정글심재현,미드김응민,원딜정용운,서폿김현수")</f>
        <v>탑장동신,정글심재현,미드김응민,원딜정용운,서폿김현수</v>
      </c>
    </row>
    <row r="94">
      <c r="A94" s="7">
        <v>46033.0</v>
      </c>
      <c r="B94" s="1">
        <v>1.0</v>
      </c>
      <c r="C94" s="1" t="s">
        <v>15</v>
      </c>
      <c r="D94" s="1" t="s">
        <v>16</v>
      </c>
      <c r="E94" s="1" t="s">
        <v>19</v>
      </c>
      <c r="F94" s="1" t="s">
        <v>20</v>
      </c>
      <c r="G94" s="1">
        <v>3.0</v>
      </c>
      <c r="H94" s="1">
        <v>3.0</v>
      </c>
      <c r="I94" s="1">
        <v>6.0</v>
      </c>
      <c r="J94" s="6"/>
      <c r="K94" s="2">
        <v>7738.0</v>
      </c>
      <c r="N94" s="4" t="str">
        <f>IFERROR(__xludf.DUMMYFUNCTION("TEXTJOIN("","", TRUE, FILTER($E$2:$E1000 &amp; $C$2:$C1000, $A$2:$A1000=A94, $B$2:$B1000=B94, $D$2:$D1000&lt;&gt;D94))"),"탑장동신,정글심재현,미드김응민,원딜정용운,서폿김현수")</f>
        <v>탑장동신,정글심재현,미드김응민,원딜정용운,서폿김현수</v>
      </c>
    </row>
    <row r="95">
      <c r="A95" s="7">
        <v>46033.0</v>
      </c>
      <c r="B95" s="1">
        <v>1.0</v>
      </c>
      <c r="C95" s="1" t="s">
        <v>39</v>
      </c>
      <c r="D95" s="1" t="s">
        <v>16</v>
      </c>
      <c r="E95" s="1" t="s">
        <v>29</v>
      </c>
      <c r="F95" s="1" t="s">
        <v>91</v>
      </c>
      <c r="G95" s="1">
        <v>15.0</v>
      </c>
      <c r="H95" s="1">
        <v>3.0</v>
      </c>
      <c r="I95" s="1">
        <v>0.0</v>
      </c>
      <c r="J95" s="6"/>
      <c r="K95" s="2">
        <v>12137.0</v>
      </c>
      <c r="N95" s="4" t="str">
        <f>IFERROR(__xludf.DUMMYFUNCTION("TEXTJOIN("","", TRUE, FILTER($E$2:$E1000 &amp; $C$2:$C1000, $A$2:$A1000=A95, $B$2:$B1000=B95, $D$2:$D1000&lt;&gt;D95))"),"탑장동신,정글심재현,미드김응민,원딜정용운,서폿김현수")</f>
        <v>탑장동신,정글심재현,미드김응민,원딜정용운,서폿김현수</v>
      </c>
    </row>
    <row r="96">
      <c r="A96" s="7">
        <v>46033.0</v>
      </c>
      <c r="B96" s="1">
        <v>1.0</v>
      </c>
      <c r="C96" s="1" t="s">
        <v>21</v>
      </c>
      <c r="D96" s="1" t="s">
        <v>16</v>
      </c>
      <c r="E96" s="1" t="s">
        <v>31</v>
      </c>
      <c r="F96" s="1" t="s">
        <v>42</v>
      </c>
      <c r="G96" s="1">
        <v>1.0</v>
      </c>
      <c r="H96" s="1">
        <v>4.0</v>
      </c>
      <c r="I96" s="1">
        <v>15.0</v>
      </c>
      <c r="J96" s="6"/>
      <c r="K96" s="2">
        <v>6910.0</v>
      </c>
      <c r="N96" s="4" t="str">
        <f>IFERROR(__xludf.DUMMYFUNCTION("TEXTJOIN("","", TRUE, FILTER($E$2:$E1000 &amp; $C$2:$C1000, $A$2:$A1000=A96, $B$2:$B1000=B96, $D$2:$D1000&lt;&gt;D96))"),"탑장동신,정글심재현,미드김응민,원딜정용운,서폿김현수")</f>
        <v>탑장동신,정글심재현,미드김응민,원딜정용운,서폿김현수</v>
      </c>
    </row>
    <row r="97">
      <c r="A97" s="7">
        <v>46033.0</v>
      </c>
      <c r="B97" s="1">
        <v>1.0</v>
      </c>
      <c r="C97" s="1" t="s">
        <v>48</v>
      </c>
      <c r="D97" s="1" t="s">
        <v>34</v>
      </c>
      <c r="E97" s="1" t="s">
        <v>17</v>
      </c>
      <c r="F97" s="1" t="s">
        <v>84</v>
      </c>
      <c r="G97" s="1">
        <v>4.0</v>
      </c>
      <c r="H97" s="1">
        <v>4.0</v>
      </c>
      <c r="I97" s="1">
        <v>2.0</v>
      </c>
      <c r="J97" s="6"/>
      <c r="K97" s="2">
        <v>7828.0</v>
      </c>
      <c r="N97" s="4" t="str">
        <f>IFERROR(__xludf.DUMMYFUNCTION("TEXTJOIN("","", TRUE, FILTER($E$2:$E1000 &amp; $C$2:$C1000, $A$2:$A1000=A97, $B$2:$B1000=B97, $D$2:$D1000&lt;&gt;D97))"),"탑이진건,정글지범진,미드박상호,원딜이창호,서폿이세환")</f>
        <v>탑이진건,정글지범진,미드박상호,원딜이창호,서폿이세환</v>
      </c>
    </row>
    <row r="98">
      <c r="A98" s="7">
        <v>46033.0</v>
      </c>
      <c r="B98" s="1">
        <v>1.0</v>
      </c>
      <c r="C98" s="1" t="s">
        <v>36</v>
      </c>
      <c r="D98" s="1" t="s">
        <v>34</v>
      </c>
      <c r="E98" s="1" t="s">
        <v>23</v>
      </c>
      <c r="F98" s="1" t="s">
        <v>92</v>
      </c>
      <c r="G98" s="1">
        <v>2.0</v>
      </c>
      <c r="H98" s="1">
        <v>4.0</v>
      </c>
      <c r="I98" s="1">
        <v>7.0</v>
      </c>
      <c r="J98" s="6"/>
      <c r="K98" s="2">
        <v>7080.0</v>
      </c>
      <c r="N98" s="4" t="str">
        <f>IFERROR(__xludf.DUMMYFUNCTION("TEXTJOIN("","", TRUE, FILTER($E$2:$E1000 &amp; $C$2:$C1000, $A$2:$A1000=A98, $B$2:$B1000=B98, $D$2:$D1000&lt;&gt;D98))"),"탑이진건,정글지범진,미드박상호,원딜이창호,서폿이세환")</f>
        <v>탑이진건,정글지범진,미드박상호,원딜이창호,서폿이세환</v>
      </c>
    </row>
    <row r="99">
      <c r="A99" s="7">
        <v>46033.0</v>
      </c>
      <c r="B99" s="1">
        <v>1.0</v>
      </c>
      <c r="C99" s="1" t="s">
        <v>38</v>
      </c>
      <c r="D99" s="1" t="s">
        <v>34</v>
      </c>
      <c r="E99" s="1" t="s">
        <v>19</v>
      </c>
      <c r="F99" s="1" t="s">
        <v>25</v>
      </c>
      <c r="G99" s="1">
        <v>3.0</v>
      </c>
      <c r="H99" s="1">
        <v>5.0</v>
      </c>
      <c r="I99" s="1">
        <v>1.0</v>
      </c>
      <c r="J99" s="6"/>
      <c r="K99" s="2">
        <v>6953.0</v>
      </c>
      <c r="N99" s="4" t="str">
        <f>IFERROR(__xludf.DUMMYFUNCTION("TEXTJOIN("","", TRUE, FILTER($E$2:$E1000 &amp; $C$2:$C1000, $A$2:$A1000=A99, $B$2:$B1000=B99, $D$2:$D1000&lt;&gt;D99))"),"탑이진건,정글지범진,미드박상호,원딜이창호,서폿이세환")</f>
        <v>탑이진건,정글지범진,미드박상호,원딜이창호,서폿이세환</v>
      </c>
    </row>
    <row r="100">
      <c r="A100" s="7">
        <v>46033.0</v>
      </c>
      <c r="B100" s="1">
        <v>1.0</v>
      </c>
      <c r="C100" s="1" t="s">
        <v>28</v>
      </c>
      <c r="D100" s="1" t="s">
        <v>34</v>
      </c>
      <c r="E100" s="1" t="s">
        <v>29</v>
      </c>
      <c r="F100" s="1" t="s">
        <v>93</v>
      </c>
      <c r="G100" s="1">
        <v>3.0</v>
      </c>
      <c r="H100" s="1">
        <v>7.0</v>
      </c>
      <c r="I100" s="1">
        <v>3.0</v>
      </c>
      <c r="J100" s="6"/>
      <c r="K100" s="2">
        <v>8795.0</v>
      </c>
      <c r="N100" s="4" t="str">
        <f>IFERROR(__xludf.DUMMYFUNCTION("TEXTJOIN("","", TRUE, FILTER($E$2:$E1000 &amp; $C$2:$C1000, $A$2:$A1000=A100, $B$2:$B1000=B100, $D$2:$D1000&lt;&gt;D100))"),"탑이진건,정글지범진,미드박상호,원딜이창호,서폿이세환")</f>
        <v>탑이진건,정글지범진,미드박상호,원딜이창호,서폿이세환</v>
      </c>
    </row>
    <row r="101">
      <c r="A101" s="7">
        <v>46033.0</v>
      </c>
      <c r="B101" s="1">
        <v>1.0</v>
      </c>
      <c r="C101" s="1" t="s">
        <v>41</v>
      </c>
      <c r="D101" s="1" t="s">
        <v>34</v>
      </c>
      <c r="E101" s="1" t="s">
        <v>31</v>
      </c>
      <c r="F101" s="1" t="s">
        <v>61</v>
      </c>
      <c r="G101" s="1">
        <v>3.0</v>
      </c>
      <c r="H101" s="1">
        <v>4.0</v>
      </c>
      <c r="I101" s="1">
        <v>5.0</v>
      </c>
      <c r="J101" s="6"/>
      <c r="K101" s="2">
        <v>6293.0</v>
      </c>
      <c r="N101" s="4" t="str">
        <f>IFERROR(__xludf.DUMMYFUNCTION("TEXTJOIN("","", TRUE, FILTER($E$2:$E1000 &amp; $C$2:$C1000, $A$2:$A1000=A101, $B$2:$B1000=B101, $D$2:$D1000&lt;&gt;D101))"),"탑이진건,정글지범진,미드박상호,원딜이창호,서폿이세환")</f>
        <v>탑이진건,정글지범진,미드박상호,원딜이창호,서폿이세환</v>
      </c>
    </row>
    <row r="102">
      <c r="A102" s="7">
        <v>46033.0</v>
      </c>
      <c r="B102" s="1">
        <v>2.0</v>
      </c>
      <c r="C102" s="1" t="s">
        <v>43</v>
      </c>
      <c r="D102" s="1" t="s">
        <v>34</v>
      </c>
      <c r="E102" s="1" t="s">
        <v>17</v>
      </c>
      <c r="F102" s="1" t="s">
        <v>79</v>
      </c>
      <c r="G102" s="1">
        <v>7.0</v>
      </c>
      <c r="H102" s="1">
        <v>10.0</v>
      </c>
      <c r="I102" s="1">
        <v>4.0</v>
      </c>
      <c r="J102" s="6"/>
      <c r="K102" s="2">
        <v>16277.0</v>
      </c>
      <c r="N102" s="4" t="str">
        <f>IFERROR(__xludf.DUMMYFUNCTION("TEXTJOIN("","", TRUE, FILTER($E$2:$E1000 &amp; $C$2:$C1000, $A$2:$A1000=A102, $B$2:$B1000=B102, $D$2:$D1000&lt;&gt;D102))"),"탑장동신,정글심재현,미드김응민,원딜정용운,서폿김현수")</f>
        <v>탑장동신,정글심재현,미드김응민,원딜정용운,서폿김현수</v>
      </c>
    </row>
    <row r="103">
      <c r="A103" s="7">
        <v>46033.0</v>
      </c>
      <c r="B103" s="1">
        <v>2.0</v>
      </c>
      <c r="C103" s="1" t="s">
        <v>22</v>
      </c>
      <c r="D103" s="1" t="s">
        <v>34</v>
      </c>
      <c r="E103" s="1" t="s">
        <v>23</v>
      </c>
      <c r="F103" s="1" t="s">
        <v>88</v>
      </c>
      <c r="G103" s="1">
        <v>4.0</v>
      </c>
      <c r="H103" s="1">
        <v>7.0</v>
      </c>
      <c r="I103" s="1">
        <v>7.0</v>
      </c>
      <c r="J103" s="6"/>
      <c r="K103" s="2">
        <v>13127.0</v>
      </c>
      <c r="N103" s="4" t="str">
        <f>IFERROR(__xludf.DUMMYFUNCTION("TEXTJOIN("","", TRUE, FILTER($E$2:$E1000 &amp; $C$2:$C1000, $A$2:$A1000=A103, $B$2:$B1000=B103, $D$2:$D1000&lt;&gt;D103))"),"탑장동신,정글심재현,미드김응민,원딜정용운,서폿김현수")</f>
        <v>탑장동신,정글심재현,미드김응민,원딜정용운,서폿김현수</v>
      </c>
    </row>
    <row r="104">
      <c r="A104" s="7">
        <v>46033.0</v>
      </c>
      <c r="B104" s="1">
        <v>2.0</v>
      </c>
      <c r="C104" s="1" t="s">
        <v>15</v>
      </c>
      <c r="D104" s="1" t="s">
        <v>34</v>
      </c>
      <c r="E104" s="1" t="s">
        <v>19</v>
      </c>
      <c r="F104" s="1" t="s">
        <v>83</v>
      </c>
      <c r="G104" s="1">
        <v>7.0</v>
      </c>
      <c r="H104" s="1">
        <v>6.0</v>
      </c>
      <c r="I104" s="1">
        <v>12.0</v>
      </c>
      <c r="J104" s="6"/>
      <c r="K104" s="2">
        <v>15065.0</v>
      </c>
      <c r="N104" s="4" t="str">
        <f>IFERROR(__xludf.DUMMYFUNCTION("TEXTJOIN("","", TRUE, FILTER($E$2:$E1000 &amp; $C$2:$C1000, $A$2:$A1000=A104, $B$2:$B1000=B104, $D$2:$D1000&lt;&gt;D104))"),"탑장동신,정글심재현,미드김응민,원딜정용운,서폿김현수")</f>
        <v>탑장동신,정글심재현,미드김응민,원딜정용운,서폿김현수</v>
      </c>
    </row>
    <row r="105">
      <c r="A105" s="7">
        <v>46033.0</v>
      </c>
      <c r="B105" s="1">
        <v>2.0</v>
      </c>
      <c r="C105" s="1" t="s">
        <v>39</v>
      </c>
      <c r="D105" s="1" t="s">
        <v>34</v>
      </c>
      <c r="E105" s="1" t="s">
        <v>29</v>
      </c>
      <c r="F105" s="1" t="s">
        <v>91</v>
      </c>
      <c r="G105" s="1">
        <v>15.0</v>
      </c>
      <c r="H105" s="1">
        <v>12.0</v>
      </c>
      <c r="I105" s="1">
        <v>5.0</v>
      </c>
      <c r="J105" s="6"/>
      <c r="K105" s="2">
        <v>17784.0</v>
      </c>
      <c r="N105" s="4" t="str">
        <f>IFERROR(__xludf.DUMMYFUNCTION("TEXTJOIN("","", TRUE, FILTER($E$2:$E1000 &amp; $C$2:$C1000, $A$2:$A1000=A105, $B$2:$B1000=B105, $D$2:$D1000&lt;&gt;D105))"),"탑장동신,정글심재현,미드김응민,원딜정용운,서폿김현수")</f>
        <v>탑장동신,정글심재현,미드김응민,원딜정용운,서폿김현수</v>
      </c>
    </row>
    <row r="106">
      <c r="A106" s="7">
        <v>46033.0</v>
      </c>
      <c r="B106" s="1">
        <v>2.0</v>
      </c>
      <c r="C106" s="1" t="s">
        <v>21</v>
      </c>
      <c r="D106" s="1" t="s">
        <v>34</v>
      </c>
      <c r="E106" s="1" t="s">
        <v>31</v>
      </c>
      <c r="F106" s="1" t="s">
        <v>82</v>
      </c>
      <c r="G106" s="1">
        <v>3.0</v>
      </c>
      <c r="H106" s="1">
        <v>10.0</v>
      </c>
      <c r="I106" s="1">
        <v>19.0</v>
      </c>
      <c r="J106" s="6"/>
      <c r="K106" s="2">
        <v>10313.0</v>
      </c>
      <c r="N106" s="4" t="str">
        <f>IFERROR(__xludf.DUMMYFUNCTION("TEXTJOIN("","", TRUE, FILTER($E$2:$E1000 &amp; $C$2:$C1000, $A$2:$A1000=A106, $B$2:$B1000=B106, $D$2:$D1000&lt;&gt;D106))"),"탑장동신,정글심재현,미드김응민,원딜정용운,서폿김현수")</f>
        <v>탑장동신,정글심재현,미드김응민,원딜정용운,서폿김현수</v>
      </c>
    </row>
    <row r="107">
      <c r="A107" s="7">
        <v>46033.0</v>
      </c>
      <c r="B107" s="1">
        <v>2.0</v>
      </c>
      <c r="C107" s="1" t="s">
        <v>48</v>
      </c>
      <c r="D107" s="1" t="s">
        <v>16</v>
      </c>
      <c r="E107" s="1" t="s">
        <v>17</v>
      </c>
      <c r="F107" s="1" t="s">
        <v>84</v>
      </c>
      <c r="G107" s="1">
        <v>2.0</v>
      </c>
      <c r="H107" s="1">
        <v>8.0</v>
      </c>
      <c r="I107" s="1">
        <v>11.0</v>
      </c>
      <c r="J107" s="6"/>
      <c r="K107" s="2">
        <v>10840.0</v>
      </c>
      <c r="N107" s="4" t="str">
        <f>IFERROR(__xludf.DUMMYFUNCTION("TEXTJOIN("","", TRUE, FILTER($E$2:$E1000 &amp; $C$2:$C1000, $A$2:$A1000=A107, $B$2:$B1000=B107, $D$2:$D1000&lt;&gt;D107))"),"탑이진건,정글지범진,미드박상호,원딜이창호,서폿이세환")</f>
        <v>탑이진건,정글지범진,미드박상호,원딜이창호,서폿이세환</v>
      </c>
    </row>
    <row r="108">
      <c r="A108" s="7">
        <v>46033.0</v>
      </c>
      <c r="B108" s="1">
        <v>2.0</v>
      </c>
      <c r="C108" s="1" t="s">
        <v>36</v>
      </c>
      <c r="D108" s="1" t="s">
        <v>16</v>
      </c>
      <c r="E108" s="1" t="s">
        <v>23</v>
      </c>
      <c r="F108" s="1" t="s">
        <v>94</v>
      </c>
      <c r="G108" s="1">
        <v>19.0</v>
      </c>
      <c r="H108" s="1">
        <v>10.0</v>
      </c>
      <c r="I108" s="1">
        <v>16.0</v>
      </c>
      <c r="J108" s="6"/>
      <c r="K108" s="2">
        <v>20792.0</v>
      </c>
      <c r="N108" s="4" t="str">
        <f>IFERROR(__xludf.DUMMYFUNCTION("TEXTJOIN("","", TRUE, FILTER($E$2:$E1000 &amp; $C$2:$C1000, $A$2:$A1000=A108, $B$2:$B1000=B108, $D$2:$D1000&lt;&gt;D108))"),"탑이진건,정글지범진,미드박상호,원딜이창호,서폿이세환")</f>
        <v>탑이진건,정글지범진,미드박상호,원딜이창호,서폿이세환</v>
      </c>
    </row>
    <row r="109">
      <c r="A109" s="7">
        <v>46033.0</v>
      </c>
      <c r="B109" s="1">
        <v>2.0</v>
      </c>
      <c r="C109" s="1" t="s">
        <v>38</v>
      </c>
      <c r="D109" s="1" t="s">
        <v>16</v>
      </c>
      <c r="E109" s="1" t="s">
        <v>19</v>
      </c>
      <c r="F109" s="1" t="s">
        <v>25</v>
      </c>
      <c r="G109" s="1">
        <v>11.0</v>
      </c>
      <c r="H109" s="1">
        <v>4.0</v>
      </c>
      <c r="I109" s="1">
        <v>17.0</v>
      </c>
      <c r="J109" s="6"/>
      <c r="K109" s="2">
        <v>18166.0</v>
      </c>
      <c r="N109" s="4" t="str">
        <f>IFERROR(__xludf.DUMMYFUNCTION("TEXTJOIN("","", TRUE, FILTER($E$2:$E1000 &amp; $C$2:$C1000, $A$2:$A1000=A109, $B$2:$B1000=B109, $D$2:$D1000&lt;&gt;D109))"),"탑이진건,정글지범진,미드박상호,원딜이창호,서폿이세환")</f>
        <v>탑이진건,정글지범진,미드박상호,원딜이창호,서폿이세환</v>
      </c>
    </row>
    <row r="110">
      <c r="A110" s="7">
        <v>46033.0</v>
      </c>
      <c r="B110" s="1">
        <v>2.0</v>
      </c>
      <c r="C110" s="1" t="s">
        <v>28</v>
      </c>
      <c r="D110" s="1" t="s">
        <v>16</v>
      </c>
      <c r="E110" s="1" t="s">
        <v>29</v>
      </c>
      <c r="F110" s="1" t="s">
        <v>40</v>
      </c>
      <c r="G110" s="1">
        <v>9.0</v>
      </c>
      <c r="H110" s="1">
        <v>7.0</v>
      </c>
      <c r="I110" s="1">
        <v>23.0</v>
      </c>
      <c r="J110" s="6"/>
      <c r="K110" s="2">
        <v>18989.0</v>
      </c>
      <c r="N110" s="4" t="str">
        <f>IFERROR(__xludf.DUMMYFUNCTION("TEXTJOIN("","", TRUE, FILTER($E$2:$E1000 &amp; $C$2:$C1000, $A$2:$A1000=A110, $B$2:$B1000=B110, $D$2:$D1000&lt;&gt;D110))"),"탑이진건,정글지범진,미드박상호,원딜이창호,서폿이세환")</f>
        <v>탑이진건,정글지범진,미드박상호,원딜이창호,서폿이세환</v>
      </c>
    </row>
    <row r="111">
      <c r="A111" s="7">
        <v>46033.0</v>
      </c>
      <c r="B111" s="1">
        <v>2.0</v>
      </c>
      <c r="C111" s="1" t="s">
        <v>41</v>
      </c>
      <c r="D111" s="1" t="s">
        <v>16</v>
      </c>
      <c r="E111" s="1" t="s">
        <v>31</v>
      </c>
      <c r="F111" s="1" t="s">
        <v>42</v>
      </c>
      <c r="G111" s="1">
        <v>4.0</v>
      </c>
      <c r="H111" s="1">
        <v>7.0</v>
      </c>
      <c r="I111" s="1">
        <v>29.0</v>
      </c>
      <c r="J111" s="6"/>
      <c r="K111" s="2">
        <v>12126.0</v>
      </c>
      <c r="N111" s="4" t="str">
        <f>IFERROR(__xludf.DUMMYFUNCTION("TEXTJOIN("","", TRUE, FILTER($E$2:$E1000 &amp; $C$2:$C1000, $A$2:$A1000=A111, $B$2:$B1000=B111, $D$2:$D1000&lt;&gt;D111))"),"탑이진건,정글지범진,미드박상호,원딜이창호,서폿이세환")</f>
        <v>탑이진건,정글지범진,미드박상호,원딜이창호,서폿이세환</v>
      </c>
    </row>
    <row r="112">
      <c r="A112" s="7">
        <v>46033.0</v>
      </c>
      <c r="B112" s="1">
        <v>3.0</v>
      </c>
      <c r="C112" s="1" t="s">
        <v>43</v>
      </c>
      <c r="D112" s="1" t="s">
        <v>16</v>
      </c>
      <c r="E112" s="1" t="s">
        <v>17</v>
      </c>
      <c r="F112" s="1" t="s">
        <v>90</v>
      </c>
      <c r="G112" s="1">
        <v>6.0</v>
      </c>
      <c r="H112" s="1">
        <v>9.0</v>
      </c>
      <c r="I112" s="1">
        <v>6.0</v>
      </c>
      <c r="J112" s="6"/>
      <c r="K112" s="2">
        <v>13861.0</v>
      </c>
      <c r="N112" s="4" t="str">
        <f>IFERROR(__xludf.DUMMYFUNCTION("TEXTJOIN("","", TRUE, FILTER($E$2:$E1000 &amp; $C$2:$C1000, $A$2:$A1000=A112, $B$2:$B1000=B112, $D$2:$D1000&lt;&gt;D112))"),"탑정용운,정글심재현,미드김응민,원딜장동신,서폿김현수")</f>
        <v>탑정용운,정글심재현,미드김응민,원딜장동신,서폿김현수</v>
      </c>
    </row>
    <row r="113">
      <c r="A113" s="7">
        <v>46033.0</v>
      </c>
      <c r="B113" s="1">
        <v>3.0</v>
      </c>
      <c r="C113" s="1" t="s">
        <v>22</v>
      </c>
      <c r="D113" s="1" t="s">
        <v>16</v>
      </c>
      <c r="E113" s="1" t="s">
        <v>23</v>
      </c>
      <c r="F113" s="1" t="s">
        <v>35</v>
      </c>
      <c r="G113" s="1">
        <v>5.0</v>
      </c>
      <c r="H113" s="1">
        <v>7.0</v>
      </c>
      <c r="I113" s="1">
        <v>13.0</v>
      </c>
      <c r="J113" s="6"/>
      <c r="K113" s="2">
        <v>14014.0</v>
      </c>
      <c r="N113" s="4" t="str">
        <f>IFERROR(__xludf.DUMMYFUNCTION("TEXTJOIN("","", TRUE, FILTER($E$2:$E1000 &amp; $C$2:$C1000, $A$2:$A1000=A113, $B$2:$B1000=B113, $D$2:$D1000&lt;&gt;D113))"),"탑정용운,정글심재현,미드김응민,원딜장동신,서폿김현수")</f>
        <v>탑정용운,정글심재현,미드김응민,원딜장동신,서폿김현수</v>
      </c>
    </row>
    <row r="114">
      <c r="A114" s="7">
        <v>46033.0</v>
      </c>
      <c r="B114" s="1">
        <v>3.0</v>
      </c>
      <c r="C114" s="1" t="s">
        <v>15</v>
      </c>
      <c r="D114" s="1" t="s">
        <v>16</v>
      </c>
      <c r="E114" s="1" t="s">
        <v>19</v>
      </c>
      <c r="F114" s="1" t="s">
        <v>83</v>
      </c>
      <c r="G114" s="1">
        <v>3.0</v>
      </c>
      <c r="H114" s="1">
        <v>8.0</v>
      </c>
      <c r="I114" s="1">
        <v>24.0</v>
      </c>
      <c r="J114" s="6"/>
      <c r="K114" s="2">
        <v>14072.0</v>
      </c>
      <c r="N114" s="4" t="str">
        <f>IFERROR(__xludf.DUMMYFUNCTION("TEXTJOIN("","", TRUE, FILTER($E$2:$E1000 &amp; $C$2:$C1000, $A$2:$A1000=A114, $B$2:$B1000=B114, $D$2:$D1000&lt;&gt;D114))"),"탑정용운,정글심재현,미드김응민,원딜장동신,서폿김현수")</f>
        <v>탑정용운,정글심재현,미드김응민,원딜장동신,서폿김현수</v>
      </c>
    </row>
    <row r="115">
      <c r="A115" s="7">
        <v>46033.0</v>
      </c>
      <c r="B115" s="1">
        <v>3.0</v>
      </c>
      <c r="C115" s="1" t="s">
        <v>39</v>
      </c>
      <c r="D115" s="1" t="s">
        <v>16</v>
      </c>
      <c r="E115" s="1" t="s">
        <v>29</v>
      </c>
      <c r="F115" s="1" t="s">
        <v>70</v>
      </c>
      <c r="G115" s="1">
        <v>17.0</v>
      </c>
      <c r="H115" s="1">
        <v>7.0</v>
      </c>
      <c r="I115" s="1">
        <v>11.0</v>
      </c>
      <c r="J115" s="6"/>
      <c r="K115" s="2">
        <v>20267.0</v>
      </c>
      <c r="N115" s="4" t="str">
        <f>IFERROR(__xludf.DUMMYFUNCTION("TEXTJOIN("","", TRUE, FILTER($E$2:$E1000 &amp; $C$2:$C1000, $A$2:$A1000=A115, $B$2:$B1000=B115, $D$2:$D1000&lt;&gt;D115))"),"탑정용운,정글심재현,미드김응민,원딜장동신,서폿김현수")</f>
        <v>탑정용운,정글심재현,미드김응민,원딜장동신,서폿김현수</v>
      </c>
    </row>
    <row r="116">
      <c r="A116" s="7">
        <v>46033.0</v>
      </c>
      <c r="B116" s="1">
        <v>3.0</v>
      </c>
      <c r="C116" s="1" t="s">
        <v>21</v>
      </c>
      <c r="D116" s="1" t="s">
        <v>16</v>
      </c>
      <c r="E116" s="1" t="s">
        <v>31</v>
      </c>
      <c r="F116" s="1" t="s">
        <v>37</v>
      </c>
      <c r="G116" s="1">
        <v>16.0</v>
      </c>
      <c r="H116" s="1">
        <v>9.0</v>
      </c>
      <c r="I116" s="1">
        <v>19.0</v>
      </c>
      <c r="J116" s="6"/>
      <c r="K116" s="2">
        <v>16052.0</v>
      </c>
      <c r="N116" s="4" t="str">
        <f>IFERROR(__xludf.DUMMYFUNCTION("TEXTJOIN("","", TRUE, FILTER($E$2:$E1000 &amp; $C$2:$C1000, $A$2:$A1000=A116, $B$2:$B1000=B116, $D$2:$D1000&lt;&gt;D116))"),"탑정용운,정글심재현,미드김응민,원딜장동신,서폿김현수")</f>
        <v>탑정용운,정글심재현,미드김응민,원딜장동신,서폿김현수</v>
      </c>
    </row>
    <row r="117">
      <c r="A117" s="7">
        <v>46033.0</v>
      </c>
      <c r="B117" s="1">
        <v>3.0</v>
      </c>
      <c r="C117" s="1" t="s">
        <v>28</v>
      </c>
      <c r="D117" s="1" t="s">
        <v>34</v>
      </c>
      <c r="E117" s="1" t="s">
        <v>17</v>
      </c>
      <c r="F117" s="1" t="s">
        <v>24</v>
      </c>
      <c r="G117" s="1">
        <v>10.0</v>
      </c>
      <c r="H117" s="1">
        <v>5.0</v>
      </c>
      <c r="I117" s="1">
        <v>12.0</v>
      </c>
      <c r="J117" s="6"/>
      <c r="K117" s="2">
        <v>14965.0</v>
      </c>
      <c r="N117" s="4" t="str">
        <f>IFERROR(__xludf.DUMMYFUNCTION("TEXTJOIN("","", TRUE, FILTER($E$2:$E1000 &amp; $C$2:$C1000, $A$2:$A1000=A117, $B$2:$B1000=B117, $D$2:$D1000&lt;&gt;D117))"),"탑이진건,정글지범진,미드박상호,원딜이창호,서폿이세환")</f>
        <v>탑이진건,정글지범진,미드박상호,원딜이창호,서폿이세환</v>
      </c>
    </row>
    <row r="118">
      <c r="A118" s="7">
        <v>46033.0</v>
      </c>
      <c r="B118" s="1">
        <v>3.0</v>
      </c>
      <c r="C118" s="1" t="s">
        <v>36</v>
      </c>
      <c r="D118" s="1" t="s">
        <v>34</v>
      </c>
      <c r="E118" s="1" t="s">
        <v>23</v>
      </c>
      <c r="F118" s="1" t="s">
        <v>95</v>
      </c>
      <c r="G118" s="1">
        <v>17.0</v>
      </c>
      <c r="H118" s="1">
        <v>9.0</v>
      </c>
      <c r="I118" s="1">
        <v>11.0</v>
      </c>
      <c r="J118" s="6"/>
      <c r="K118" s="2">
        <v>19605.0</v>
      </c>
      <c r="N118" s="4" t="str">
        <f>IFERROR(__xludf.DUMMYFUNCTION("TEXTJOIN("","", TRUE, FILTER($E$2:$E1000 &amp; $C$2:$C1000, $A$2:$A1000=A118, $B$2:$B1000=B118, $D$2:$D1000&lt;&gt;D118))"),"탑이진건,정글지범진,미드박상호,원딜이창호,서폿이세환")</f>
        <v>탑이진건,정글지범진,미드박상호,원딜이창호,서폿이세환</v>
      </c>
    </row>
    <row r="119">
      <c r="A119" s="7">
        <v>46033.0</v>
      </c>
      <c r="B119" s="1">
        <v>3.0</v>
      </c>
      <c r="C119" s="1" t="s">
        <v>38</v>
      </c>
      <c r="D119" s="1" t="s">
        <v>34</v>
      </c>
      <c r="E119" s="1" t="s">
        <v>19</v>
      </c>
      <c r="F119" s="1" t="s">
        <v>25</v>
      </c>
      <c r="G119" s="1">
        <v>7.0</v>
      </c>
      <c r="H119" s="1">
        <v>10.0</v>
      </c>
      <c r="I119" s="1">
        <v>16.0</v>
      </c>
      <c r="J119" s="6"/>
      <c r="K119" s="2">
        <v>1549.0</v>
      </c>
      <c r="N119" s="4" t="str">
        <f>IFERROR(__xludf.DUMMYFUNCTION("TEXTJOIN("","", TRUE, FILTER($E$2:$E1000 &amp; $C$2:$C1000, $A$2:$A1000=A119, $B$2:$B1000=B119, $D$2:$D1000&lt;&gt;D119))"),"탑이진건,정글지범진,미드박상호,원딜이창호,서폿이세환")</f>
        <v>탑이진건,정글지범진,미드박상호,원딜이창호,서폿이세환</v>
      </c>
    </row>
    <row r="120">
      <c r="A120" s="7">
        <v>46033.0</v>
      </c>
      <c r="B120" s="1">
        <v>3.0</v>
      </c>
      <c r="C120" s="1" t="s">
        <v>48</v>
      </c>
      <c r="D120" s="1" t="s">
        <v>34</v>
      </c>
      <c r="E120" s="1" t="s">
        <v>29</v>
      </c>
      <c r="F120" s="1" t="s">
        <v>96</v>
      </c>
      <c r="G120" s="1">
        <v>4.0</v>
      </c>
      <c r="H120" s="1">
        <v>12.0</v>
      </c>
      <c r="I120" s="1">
        <v>14.0</v>
      </c>
      <c r="J120" s="6"/>
      <c r="K120" s="2">
        <v>12828.0</v>
      </c>
      <c r="N120" s="4" t="str">
        <f>IFERROR(__xludf.DUMMYFUNCTION("TEXTJOIN("","", TRUE, FILTER($E$2:$E1000 &amp; $C$2:$C1000, $A$2:$A1000=A120, $B$2:$B1000=B120, $D$2:$D1000&lt;&gt;D120))"),"탑이진건,정글지범진,미드박상호,원딜이창호,서폿이세환")</f>
        <v>탑이진건,정글지범진,미드박상호,원딜이창호,서폿이세환</v>
      </c>
    </row>
    <row r="121">
      <c r="A121" s="7">
        <v>46033.0</v>
      </c>
      <c r="B121" s="1">
        <v>3.0</v>
      </c>
      <c r="C121" s="1" t="s">
        <v>41</v>
      </c>
      <c r="D121" s="1" t="s">
        <v>34</v>
      </c>
      <c r="E121" s="1" t="s">
        <v>31</v>
      </c>
      <c r="F121" s="1" t="s">
        <v>42</v>
      </c>
      <c r="G121" s="1">
        <v>2.0</v>
      </c>
      <c r="H121" s="1">
        <v>11.0</v>
      </c>
      <c r="I121" s="1">
        <v>24.0</v>
      </c>
      <c r="J121" s="6"/>
      <c r="K121" s="2">
        <v>11536.0</v>
      </c>
      <c r="N121" s="4" t="str">
        <f>IFERROR(__xludf.DUMMYFUNCTION("TEXTJOIN("","", TRUE, FILTER($E$2:$E1000 &amp; $C$2:$C1000, $A$2:$A1000=A121, $B$2:$B1000=B121, $D$2:$D1000&lt;&gt;D121))"),"탑이진건,정글지범진,미드박상호,원딜이창호,서폿이세환")</f>
        <v>탑이진건,정글지범진,미드박상호,원딜이창호,서폿이세환</v>
      </c>
    </row>
    <row r="122">
      <c r="A122" s="7">
        <v>46054.0</v>
      </c>
      <c r="B122" s="1">
        <v>1.0</v>
      </c>
      <c r="C122" s="1" t="s">
        <v>26</v>
      </c>
      <c r="D122" s="1" t="s">
        <v>34</v>
      </c>
      <c r="E122" s="1" t="s">
        <v>17</v>
      </c>
      <c r="F122" s="1" t="s">
        <v>35</v>
      </c>
      <c r="G122" s="1">
        <v>1.0</v>
      </c>
      <c r="H122" s="1">
        <v>5.0</v>
      </c>
      <c r="I122" s="1">
        <v>0.0</v>
      </c>
      <c r="J122" s="6"/>
      <c r="K122" s="6"/>
      <c r="N122" s="4" t="str">
        <f>IFERROR(__xludf.DUMMYFUNCTION("TEXTJOIN("","", TRUE, FILTER($E$2:$E1000 &amp; $C$2:$C1000, $A$2:$A1000=A122, $B$2:$B1000=B122, $D$2:$D1000&lt;&gt;D122))"),"탑신현우,정글이진건,미드박상호,원딜이창호,서폿심재현")</f>
        <v>탑신현우,정글이진건,미드박상호,원딜이창호,서폿심재현</v>
      </c>
    </row>
    <row r="123">
      <c r="A123" s="7">
        <v>46054.0</v>
      </c>
      <c r="B123" s="1">
        <v>1.0</v>
      </c>
      <c r="C123" s="1" t="s">
        <v>22</v>
      </c>
      <c r="D123" s="1" t="s">
        <v>34</v>
      </c>
      <c r="E123" s="1" t="s">
        <v>23</v>
      </c>
      <c r="F123" s="1" t="s">
        <v>68</v>
      </c>
      <c r="G123" s="1">
        <v>4.0</v>
      </c>
      <c r="H123" s="1">
        <v>7.0</v>
      </c>
      <c r="I123" s="1">
        <v>5.0</v>
      </c>
      <c r="J123" s="6"/>
      <c r="K123" s="6"/>
      <c r="N123" s="4" t="str">
        <f>IFERROR(__xludf.DUMMYFUNCTION("TEXTJOIN("","", TRUE, FILTER($E$2:$E1000 &amp; $C$2:$C1000, $A$2:$A1000=A123, $B$2:$B1000=B123, $D$2:$D1000&lt;&gt;D123))"),"탑신현우,정글이진건,미드박상호,원딜이창호,서폿심재현")</f>
        <v>탑신현우,정글이진건,미드박상호,원딜이창호,서폿심재현</v>
      </c>
    </row>
    <row r="124">
      <c r="A124" s="7">
        <v>46054.0</v>
      </c>
      <c r="B124" s="1">
        <v>1.0</v>
      </c>
      <c r="C124" s="1" t="s">
        <v>28</v>
      </c>
      <c r="D124" s="1" t="s">
        <v>34</v>
      </c>
      <c r="E124" s="1" t="s">
        <v>19</v>
      </c>
      <c r="F124" s="1" t="s">
        <v>25</v>
      </c>
      <c r="G124" s="1">
        <v>3.0</v>
      </c>
      <c r="H124" s="1">
        <v>6.0</v>
      </c>
      <c r="I124" s="1">
        <v>4.0</v>
      </c>
      <c r="J124" s="6"/>
      <c r="K124" s="6"/>
      <c r="N124" s="4" t="str">
        <f>IFERROR(__xludf.DUMMYFUNCTION("TEXTJOIN("","", TRUE, FILTER($E$2:$E1000 &amp; $C$2:$C1000, $A$2:$A1000=A124, $B$2:$B1000=B124, $D$2:$D1000&lt;&gt;D124))"),"탑신현우,정글이진건,미드박상호,원딜이창호,서폿심재현")</f>
        <v>탑신현우,정글이진건,미드박상호,원딜이창호,서폿심재현</v>
      </c>
    </row>
    <row r="125">
      <c r="A125" s="7">
        <v>46054.0</v>
      </c>
      <c r="B125" s="1">
        <v>1.0</v>
      </c>
      <c r="C125" s="1" t="s">
        <v>38</v>
      </c>
      <c r="D125" s="1" t="s">
        <v>34</v>
      </c>
      <c r="E125" s="1" t="s">
        <v>29</v>
      </c>
      <c r="F125" s="1" t="s">
        <v>93</v>
      </c>
      <c r="G125" s="1">
        <v>7.0</v>
      </c>
      <c r="H125" s="1">
        <v>11.0</v>
      </c>
      <c r="I125" s="1">
        <v>3.0</v>
      </c>
      <c r="J125" s="6"/>
      <c r="K125" s="6"/>
      <c r="N125" s="4" t="str">
        <f>IFERROR(__xludf.DUMMYFUNCTION("TEXTJOIN("","", TRUE, FILTER($E$2:$E1000 &amp; $C$2:$C1000, $A$2:$A1000=A125, $B$2:$B1000=B125, $D$2:$D1000&lt;&gt;D125))"),"탑신현우,정글이진건,미드박상호,원딜이창호,서폿심재현")</f>
        <v>탑신현우,정글이진건,미드박상호,원딜이창호,서폿심재현</v>
      </c>
    </row>
    <row r="126">
      <c r="A126" s="7">
        <v>46054.0</v>
      </c>
      <c r="B126" s="1">
        <v>1.0</v>
      </c>
      <c r="C126" s="1" t="s">
        <v>41</v>
      </c>
      <c r="D126" s="1" t="s">
        <v>34</v>
      </c>
      <c r="E126" s="1" t="s">
        <v>31</v>
      </c>
      <c r="F126" s="1" t="s">
        <v>61</v>
      </c>
      <c r="G126" s="1">
        <v>2.0</v>
      </c>
      <c r="H126" s="1">
        <v>6.0</v>
      </c>
      <c r="I126" s="1">
        <v>12.0</v>
      </c>
      <c r="J126" s="6"/>
      <c r="K126" s="6"/>
      <c r="N126" s="4" t="str">
        <f>IFERROR(__xludf.DUMMYFUNCTION("TEXTJOIN("","", TRUE, FILTER($E$2:$E1000 &amp; $C$2:$C1000, $A$2:$A1000=A126, $B$2:$B1000=B126, $D$2:$D1000&lt;&gt;D126))"),"탑신현우,정글이진건,미드박상호,원딜이창호,서폿심재현")</f>
        <v>탑신현우,정글이진건,미드박상호,원딜이창호,서폿심재현</v>
      </c>
    </row>
    <row r="127">
      <c r="A127" s="7">
        <v>46054.0</v>
      </c>
      <c r="B127" s="1">
        <v>1.0</v>
      </c>
      <c r="C127" s="1" t="s">
        <v>50</v>
      </c>
      <c r="D127" s="1" t="s">
        <v>16</v>
      </c>
      <c r="E127" s="1" t="s">
        <v>17</v>
      </c>
      <c r="F127" s="1" t="s">
        <v>24</v>
      </c>
      <c r="G127" s="1">
        <v>1.0</v>
      </c>
      <c r="H127" s="1">
        <v>1.0</v>
      </c>
      <c r="I127" s="1">
        <v>14.0</v>
      </c>
      <c r="J127" s="6"/>
      <c r="K127" s="6"/>
      <c r="N127" s="4" t="str">
        <f>IFERROR(__xludf.DUMMYFUNCTION("TEXTJOIN("","", TRUE, FILTER($E$2:$E1000 &amp; $C$2:$C1000, $A$2:$A1000=A127, $B$2:$B1000=B127, $D$2:$D1000&lt;&gt;D127))"),"탑신동혁,정글지범진,미드정용운,원딜김응민,서폿김현수")</f>
        <v>탑신동혁,정글지범진,미드정용운,원딜김응민,서폿김현수</v>
      </c>
    </row>
    <row r="128">
      <c r="A128" s="7">
        <v>46054.0</v>
      </c>
      <c r="B128" s="1">
        <v>1.0</v>
      </c>
      <c r="C128" s="1" t="s">
        <v>43</v>
      </c>
      <c r="D128" s="1" t="s">
        <v>16</v>
      </c>
      <c r="E128" s="1" t="s">
        <v>23</v>
      </c>
      <c r="F128" s="1" t="s">
        <v>84</v>
      </c>
      <c r="G128" s="1">
        <v>12.0</v>
      </c>
      <c r="H128" s="1">
        <v>3.0</v>
      </c>
      <c r="I128" s="1">
        <v>10.0</v>
      </c>
      <c r="J128" s="6"/>
      <c r="K128" s="6"/>
      <c r="N128" s="4" t="str">
        <f>IFERROR(__xludf.DUMMYFUNCTION("TEXTJOIN("","", TRUE, FILTER($E$2:$E1000 &amp; $C$2:$C1000, $A$2:$A1000=A128, $B$2:$B1000=B128, $D$2:$D1000&lt;&gt;D128))"),"탑신동혁,정글지범진,미드정용운,원딜김응민,서폿김현수")</f>
        <v>탑신동혁,정글지범진,미드정용운,원딜김응민,서폿김현수</v>
      </c>
    </row>
    <row r="129">
      <c r="A129" s="7">
        <v>46054.0</v>
      </c>
      <c r="B129" s="1">
        <v>1.0</v>
      </c>
      <c r="C129" s="1" t="s">
        <v>15</v>
      </c>
      <c r="D129" s="1" t="s">
        <v>16</v>
      </c>
      <c r="E129" s="1" t="s">
        <v>19</v>
      </c>
      <c r="F129" s="1" t="s">
        <v>83</v>
      </c>
      <c r="G129" s="1">
        <v>7.0</v>
      </c>
      <c r="H129" s="1">
        <v>2.0</v>
      </c>
      <c r="I129" s="1">
        <v>14.0</v>
      </c>
      <c r="J129" s="6"/>
      <c r="K129" s="6"/>
      <c r="N129" s="4" t="str">
        <f>IFERROR(__xludf.DUMMYFUNCTION("TEXTJOIN("","", TRUE, FILTER($E$2:$E1000 &amp; $C$2:$C1000, $A$2:$A1000=A129, $B$2:$B1000=B129, $D$2:$D1000&lt;&gt;D129))"),"탑신동혁,정글지범진,미드정용운,원딜김응민,서폿김현수")</f>
        <v>탑신동혁,정글지범진,미드정용운,원딜김응민,서폿김현수</v>
      </c>
    </row>
    <row r="130">
      <c r="A130" s="7">
        <v>46054.0</v>
      </c>
      <c r="B130" s="1">
        <v>1.0</v>
      </c>
      <c r="C130" s="1" t="s">
        <v>39</v>
      </c>
      <c r="D130" s="1" t="s">
        <v>16</v>
      </c>
      <c r="E130" s="1" t="s">
        <v>29</v>
      </c>
      <c r="F130" s="1" t="s">
        <v>81</v>
      </c>
      <c r="G130" s="1">
        <v>11.0</v>
      </c>
      <c r="H130" s="1">
        <v>4.0</v>
      </c>
      <c r="I130" s="1">
        <v>11.0</v>
      </c>
      <c r="J130" s="6"/>
      <c r="K130" s="6"/>
      <c r="N130" s="4" t="str">
        <f>IFERROR(__xludf.DUMMYFUNCTION("TEXTJOIN("","", TRUE, FILTER($E$2:$E1000 &amp; $C$2:$C1000, $A$2:$A1000=A130, $B$2:$B1000=B130, $D$2:$D1000&lt;&gt;D130))"),"탑신동혁,정글지범진,미드정용운,원딜김응민,서폿김현수")</f>
        <v>탑신동혁,정글지범진,미드정용운,원딜김응민,서폿김현수</v>
      </c>
    </row>
    <row r="131">
      <c r="A131" s="7">
        <v>46054.0</v>
      </c>
      <c r="B131" s="1">
        <v>1.0</v>
      </c>
      <c r="C131" s="1" t="s">
        <v>36</v>
      </c>
      <c r="D131" s="1" t="s">
        <v>16</v>
      </c>
      <c r="E131" s="1" t="s">
        <v>31</v>
      </c>
      <c r="F131" s="1" t="s">
        <v>97</v>
      </c>
      <c r="G131" s="1">
        <v>3.0</v>
      </c>
      <c r="H131" s="1">
        <v>7.0</v>
      </c>
      <c r="I131" s="1">
        <v>23.0</v>
      </c>
      <c r="J131" s="6"/>
      <c r="K131" s="6"/>
      <c r="N131" s="4" t="str">
        <f>IFERROR(__xludf.DUMMYFUNCTION("TEXTJOIN("","", TRUE, FILTER($E$2:$E1000 &amp; $C$2:$C1000, $A$2:$A1000=A131, $B$2:$B1000=B131, $D$2:$D1000&lt;&gt;D131))"),"탑신동혁,정글지범진,미드정용운,원딜김응민,서폿김현수")</f>
        <v>탑신동혁,정글지범진,미드정용운,원딜김응민,서폿김현수</v>
      </c>
    </row>
    <row r="132">
      <c r="A132" s="7">
        <v>46054.0</v>
      </c>
      <c r="B132" s="1">
        <v>2.0</v>
      </c>
      <c r="C132" s="1" t="s">
        <v>26</v>
      </c>
      <c r="D132" s="1" t="s">
        <v>16</v>
      </c>
      <c r="E132" s="1" t="s">
        <v>17</v>
      </c>
      <c r="F132" s="1" t="s">
        <v>24</v>
      </c>
      <c r="G132" s="1">
        <v>5.0</v>
      </c>
      <c r="H132" s="1">
        <v>2.0</v>
      </c>
      <c r="I132" s="1">
        <v>4.0</v>
      </c>
      <c r="J132" s="2">
        <v>23922.0</v>
      </c>
      <c r="K132" s="2">
        <v>11201.0</v>
      </c>
      <c r="N132" s="4" t="str">
        <f>IFERROR(__xludf.DUMMYFUNCTION("TEXTJOIN("","", TRUE, FILTER($E$2:$E1000 &amp; $C$2:$C1000, $A$2:$A1000=A132, $B$2:$B1000=B132, $D$2:$D1000&lt;&gt;D132))"),"탑신현우,정글이진건,미드정용운,원딜이창호,서폿심재현")</f>
        <v>탑신현우,정글이진건,미드정용운,원딜이창호,서폿심재현</v>
      </c>
    </row>
    <row r="133">
      <c r="A133" s="7">
        <v>46054.0</v>
      </c>
      <c r="B133" s="1">
        <v>2.0</v>
      </c>
      <c r="C133" s="1" t="s">
        <v>22</v>
      </c>
      <c r="D133" s="1" t="s">
        <v>16</v>
      </c>
      <c r="E133" s="1" t="s">
        <v>23</v>
      </c>
      <c r="F133" s="1" t="s">
        <v>98</v>
      </c>
      <c r="G133" s="1">
        <v>5.0</v>
      </c>
      <c r="H133" s="1">
        <v>4.0</v>
      </c>
      <c r="I133" s="1">
        <v>13.0</v>
      </c>
      <c r="J133" s="2">
        <v>23038.0</v>
      </c>
      <c r="K133" s="2">
        <v>13715.0</v>
      </c>
      <c r="N133" s="4" t="str">
        <f>IFERROR(__xludf.DUMMYFUNCTION("TEXTJOIN("","", TRUE, FILTER($E$2:$E1000 &amp; $C$2:$C1000, $A$2:$A1000=A133, $B$2:$B1000=B133, $D$2:$D1000&lt;&gt;D133))"),"탑신현우,정글이진건,미드정용운,원딜이창호,서폿심재현")</f>
        <v>탑신현우,정글이진건,미드정용운,원딜이창호,서폿심재현</v>
      </c>
    </row>
    <row r="134">
      <c r="A134" s="7">
        <v>46054.0</v>
      </c>
      <c r="B134" s="1">
        <v>2.0</v>
      </c>
      <c r="C134" s="1" t="s">
        <v>15</v>
      </c>
      <c r="D134" s="1" t="s">
        <v>16</v>
      </c>
      <c r="E134" s="1" t="s">
        <v>19</v>
      </c>
      <c r="F134" s="1" t="s">
        <v>63</v>
      </c>
      <c r="G134" s="1">
        <v>2.0</v>
      </c>
      <c r="H134" s="1">
        <v>3.0</v>
      </c>
      <c r="I134" s="1">
        <v>9.0</v>
      </c>
      <c r="J134" s="2">
        <v>21614.0</v>
      </c>
      <c r="K134" s="2">
        <v>12162.0</v>
      </c>
      <c r="N134" s="4" t="str">
        <f>IFERROR(__xludf.DUMMYFUNCTION("TEXTJOIN("","", TRUE, FILTER($E$2:$E1000 &amp; $C$2:$C1000, $A$2:$A1000=A134, $B$2:$B1000=B134, $D$2:$D1000&lt;&gt;D134))"),"탑신현우,정글이진건,미드정용운,원딜이창호,서폿심재현")</f>
        <v>탑신현우,정글이진건,미드정용운,원딜이창호,서폿심재현</v>
      </c>
    </row>
    <row r="135">
      <c r="A135" s="7">
        <v>46054.0</v>
      </c>
      <c r="B135" s="1">
        <v>2.0</v>
      </c>
      <c r="C135" s="1" t="s">
        <v>38</v>
      </c>
      <c r="D135" s="1" t="s">
        <v>16</v>
      </c>
      <c r="E135" s="1" t="s">
        <v>29</v>
      </c>
      <c r="F135" s="1" t="s">
        <v>47</v>
      </c>
      <c r="G135" s="1">
        <v>12.0</v>
      </c>
      <c r="H135" s="1">
        <v>4.0</v>
      </c>
      <c r="I135" s="1">
        <v>5.0</v>
      </c>
      <c r="J135" s="2">
        <v>36464.0</v>
      </c>
      <c r="K135" s="2">
        <v>15889.0</v>
      </c>
      <c r="N135" s="4" t="str">
        <f>IFERROR(__xludf.DUMMYFUNCTION("TEXTJOIN("","", TRUE, FILTER($E$2:$E1000 &amp; $C$2:$C1000, $A$2:$A1000=A135, $B$2:$B1000=B135, $D$2:$D1000&lt;&gt;D135))"),"탑신현우,정글이진건,미드정용운,원딜이창호,서폿심재현")</f>
        <v>탑신현우,정글이진건,미드정용운,원딜이창호,서폿심재현</v>
      </c>
    </row>
    <row r="136">
      <c r="A136" s="7">
        <v>46054.0</v>
      </c>
      <c r="B136" s="1">
        <v>2.0</v>
      </c>
      <c r="C136" s="1" t="s">
        <v>41</v>
      </c>
      <c r="D136" s="1" t="s">
        <v>16</v>
      </c>
      <c r="E136" s="1" t="s">
        <v>31</v>
      </c>
      <c r="F136" s="1" t="s">
        <v>58</v>
      </c>
      <c r="G136" s="1">
        <v>5.0</v>
      </c>
      <c r="H136" s="1">
        <v>4.0</v>
      </c>
      <c r="I136" s="1">
        <v>11.0</v>
      </c>
      <c r="J136" s="2">
        <v>13581.0</v>
      </c>
      <c r="K136" s="2">
        <v>99336.0</v>
      </c>
      <c r="N136" s="4" t="str">
        <f>IFERROR(__xludf.DUMMYFUNCTION("TEXTJOIN("","", TRUE, FILTER($E$2:$E1000 &amp; $C$2:$C1000, $A$2:$A1000=A136, $B$2:$B1000=B136, $D$2:$D1000&lt;&gt;D136))"),"탑신현우,정글이진건,미드정용운,원딜이창호,서폿심재현")</f>
        <v>탑신현우,정글이진건,미드정용운,원딜이창호,서폿심재현</v>
      </c>
    </row>
    <row r="137">
      <c r="A137" s="7">
        <v>46054.0</v>
      </c>
      <c r="B137" s="1">
        <v>2.0</v>
      </c>
      <c r="C137" s="1" t="s">
        <v>50</v>
      </c>
      <c r="D137" s="1" t="s">
        <v>34</v>
      </c>
      <c r="E137" s="1" t="s">
        <v>17</v>
      </c>
      <c r="F137" s="1" t="s">
        <v>35</v>
      </c>
      <c r="G137" s="1">
        <v>2.0</v>
      </c>
      <c r="H137" s="1">
        <v>7.0</v>
      </c>
      <c r="I137" s="1">
        <v>3.0</v>
      </c>
      <c r="J137" s="2">
        <v>23220.0</v>
      </c>
      <c r="K137" s="2">
        <v>10916.0</v>
      </c>
      <c r="N137" s="4" t="str">
        <f>IFERROR(__xludf.DUMMYFUNCTION("TEXTJOIN("","", TRUE, FILTER($E$2:$E1000 &amp; $C$2:$C1000, $A$2:$A1000=A137, $B$2:$B1000=B137, $D$2:$D1000&lt;&gt;D137))"),"탑신동혁,정글지범진,미드박상호,원딜김응민,서폿김현수")</f>
        <v>탑신동혁,정글지범진,미드박상호,원딜김응민,서폿김현수</v>
      </c>
    </row>
    <row r="138">
      <c r="A138" s="7">
        <v>46054.0</v>
      </c>
      <c r="B138" s="1">
        <v>2.0</v>
      </c>
      <c r="C138" s="1" t="s">
        <v>43</v>
      </c>
      <c r="D138" s="1" t="s">
        <v>34</v>
      </c>
      <c r="E138" s="1" t="s">
        <v>23</v>
      </c>
      <c r="F138" s="1" t="s">
        <v>61</v>
      </c>
      <c r="G138" s="1">
        <v>2.0</v>
      </c>
      <c r="H138" s="1">
        <v>6.0</v>
      </c>
      <c r="I138" s="1">
        <v>9.0</v>
      </c>
      <c r="J138" s="2">
        <v>14401.0</v>
      </c>
      <c r="K138" s="2">
        <v>11737.0</v>
      </c>
      <c r="N138" s="4" t="str">
        <f>IFERROR(__xludf.DUMMYFUNCTION("TEXTJOIN("","", TRUE, FILTER($E$2:$E1000 &amp; $C$2:$C1000, $A$2:$A1000=A138, $B$2:$B1000=B138, $D$2:$D1000&lt;&gt;D138))"),"탑신동혁,정글지범진,미드박상호,원딜김응민,서폿김현수")</f>
        <v>탑신동혁,정글지범진,미드박상호,원딜김응민,서폿김현수</v>
      </c>
    </row>
    <row r="139">
      <c r="A139" s="7">
        <v>46054.0</v>
      </c>
      <c r="B139" s="1">
        <v>2.0</v>
      </c>
      <c r="C139" s="1" t="s">
        <v>28</v>
      </c>
      <c r="D139" s="1" t="s">
        <v>34</v>
      </c>
      <c r="E139" s="1" t="s">
        <v>19</v>
      </c>
      <c r="F139" s="1" t="s">
        <v>25</v>
      </c>
      <c r="G139" s="1">
        <v>3.0</v>
      </c>
      <c r="H139" s="1">
        <v>4.0</v>
      </c>
      <c r="I139" s="1">
        <v>9.0</v>
      </c>
      <c r="J139" s="2">
        <v>28055.0</v>
      </c>
      <c r="K139" s="2">
        <v>11999.0</v>
      </c>
      <c r="N139" s="4" t="str">
        <f>IFERROR(__xludf.DUMMYFUNCTION("TEXTJOIN("","", TRUE, FILTER($E$2:$E1000 &amp; $C$2:$C1000, $A$2:$A1000=A139, $B$2:$B1000=B139, $D$2:$D1000&lt;&gt;D139))"),"탑신동혁,정글지범진,미드박상호,원딜김응민,서폿김현수")</f>
        <v>탑신동혁,정글지범진,미드박상호,원딜김응민,서폿김현수</v>
      </c>
    </row>
    <row r="140">
      <c r="A140" s="7">
        <v>46054.0</v>
      </c>
      <c r="B140" s="1">
        <v>2.0</v>
      </c>
      <c r="C140" s="1" t="s">
        <v>39</v>
      </c>
      <c r="D140" s="1" t="s">
        <v>34</v>
      </c>
      <c r="E140" s="1" t="s">
        <v>29</v>
      </c>
      <c r="F140" s="1" t="s">
        <v>93</v>
      </c>
      <c r="G140" s="1">
        <v>5.0</v>
      </c>
      <c r="H140" s="1">
        <v>8.0</v>
      </c>
      <c r="I140" s="1">
        <v>4.0</v>
      </c>
      <c r="J140" s="2">
        <v>13903.0</v>
      </c>
      <c r="K140" s="2">
        <v>13577.0</v>
      </c>
      <c r="N140" s="4" t="str">
        <f>IFERROR(__xludf.DUMMYFUNCTION("TEXTJOIN("","", TRUE, FILTER($E$2:$E1000 &amp; $C$2:$C1000, $A$2:$A1000=A140, $B$2:$B1000=B140, $D$2:$D1000&lt;&gt;D140))"),"탑신동혁,정글지범진,미드박상호,원딜김응민,서폿김현수")</f>
        <v>탑신동혁,정글지범진,미드박상호,원딜김응민,서폿김현수</v>
      </c>
    </row>
    <row r="141">
      <c r="A141" s="7">
        <v>46054.0</v>
      </c>
      <c r="B141" s="1">
        <v>2.0</v>
      </c>
      <c r="C141" s="1" t="s">
        <v>36</v>
      </c>
      <c r="D141" s="1" t="s">
        <v>34</v>
      </c>
      <c r="E141" s="1" t="s">
        <v>31</v>
      </c>
      <c r="F141" s="1" t="s">
        <v>99</v>
      </c>
      <c r="G141" s="1">
        <v>5.0</v>
      </c>
      <c r="H141" s="1">
        <v>4.0</v>
      </c>
      <c r="I141" s="1">
        <v>10.0</v>
      </c>
      <c r="J141" s="2">
        <v>16267.0</v>
      </c>
      <c r="K141" s="2">
        <v>10173.0</v>
      </c>
      <c r="N141" s="4" t="str">
        <f>IFERROR(__xludf.DUMMYFUNCTION("TEXTJOIN("","", TRUE, FILTER($E$2:$E1000 &amp; $C$2:$C1000, $A$2:$A1000=A141, $B$2:$B1000=B141, $D$2:$D1000&lt;&gt;D141))"),"탑신동혁,정글지범진,미드박상호,원딜김응민,서폿김현수")</f>
        <v>탑신동혁,정글지범진,미드박상호,원딜김응민,서폿김현수</v>
      </c>
    </row>
    <row r="142">
      <c r="A142" s="7">
        <v>46054.0</v>
      </c>
      <c r="B142" s="1">
        <v>3.0</v>
      </c>
      <c r="C142" s="1" t="s">
        <v>26</v>
      </c>
      <c r="D142" s="1" t="s">
        <v>16</v>
      </c>
      <c r="E142" s="1" t="s">
        <v>17</v>
      </c>
      <c r="F142" s="1" t="s">
        <v>100</v>
      </c>
      <c r="G142" s="1">
        <v>5.0</v>
      </c>
      <c r="H142" s="1">
        <v>2.0</v>
      </c>
      <c r="I142" s="1">
        <v>1.0</v>
      </c>
      <c r="J142" s="2">
        <v>12054.0</v>
      </c>
      <c r="K142" s="2">
        <v>6384.0</v>
      </c>
      <c r="N142" s="4" t="str">
        <f>IFERROR(__xludf.DUMMYFUNCTION("TEXTJOIN("","", TRUE, FILTER($E$2:$E1000 &amp; $C$2:$C1000, $A$2:$A1000=A142, $B$2:$B1000=B142, $D$2:$D1000&lt;&gt;D142))"),"탑신현우,정글이진건,미드정용운,원딜이창호,서폿심재현")</f>
        <v>탑신현우,정글이진건,미드정용운,원딜이창호,서폿심재현</v>
      </c>
    </row>
    <row r="143">
      <c r="A143" s="7">
        <v>46054.0</v>
      </c>
      <c r="B143" s="1">
        <v>3.0</v>
      </c>
      <c r="C143" s="1" t="s">
        <v>22</v>
      </c>
      <c r="D143" s="1" t="s">
        <v>16</v>
      </c>
      <c r="E143" s="1" t="s">
        <v>23</v>
      </c>
      <c r="F143" s="1" t="s">
        <v>35</v>
      </c>
      <c r="G143" s="1">
        <v>2.0</v>
      </c>
      <c r="H143" s="1">
        <v>0.0</v>
      </c>
      <c r="I143" s="1">
        <v>6.0</v>
      </c>
      <c r="J143" s="2">
        <v>4176.0</v>
      </c>
      <c r="K143" s="2">
        <v>6383.0</v>
      </c>
      <c r="N143" s="4" t="str">
        <f>IFERROR(__xludf.DUMMYFUNCTION("TEXTJOIN("","", TRUE, FILTER($E$2:$E1000 &amp; $C$2:$C1000, $A$2:$A1000=A143, $B$2:$B1000=B143, $D$2:$D1000&lt;&gt;D143))"),"탑신현우,정글이진건,미드정용운,원딜이창호,서폿심재현")</f>
        <v>탑신현우,정글이진건,미드정용운,원딜이창호,서폿심재현</v>
      </c>
    </row>
    <row r="144">
      <c r="A144" s="7">
        <v>46054.0</v>
      </c>
      <c r="B144" s="1">
        <v>3.0</v>
      </c>
      <c r="C144" s="1" t="s">
        <v>15</v>
      </c>
      <c r="D144" s="1" t="s">
        <v>16</v>
      </c>
      <c r="E144" s="1" t="s">
        <v>19</v>
      </c>
      <c r="F144" s="1" t="s">
        <v>83</v>
      </c>
      <c r="G144" s="1">
        <v>4.0</v>
      </c>
      <c r="H144" s="1">
        <v>1.0</v>
      </c>
      <c r="I144" s="1">
        <v>3.0</v>
      </c>
      <c r="J144" s="2">
        <v>8740.0</v>
      </c>
      <c r="K144" s="2">
        <v>6878.0</v>
      </c>
      <c r="N144" s="4" t="str">
        <f>IFERROR(__xludf.DUMMYFUNCTION("TEXTJOIN("","", TRUE, FILTER($E$2:$E1000 &amp; $C$2:$C1000, $A$2:$A1000=A144, $B$2:$B1000=B144, $D$2:$D1000&lt;&gt;D144))"),"탑신현우,정글이진건,미드정용운,원딜이창호,서폿심재현")</f>
        <v>탑신현우,정글이진건,미드정용운,원딜이창호,서폿심재현</v>
      </c>
    </row>
    <row r="145">
      <c r="A145" s="7">
        <v>46054.0</v>
      </c>
      <c r="B145" s="1">
        <v>3.0</v>
      </c>
      <c r="C145" s="1" t="s">
        <v>38</v>
      </c>
      <c r="D145" s="1" t="s">
        <v>16</v>
      </c>
      <c r="E145" s="1" t="s">
        <v>29</v>
      </c>
      <c r="F145" s="1" t="s">
        <v>93</v>
      </c>
      <c r="G145" s="1">
        <v>7.0</v>
      </c>
      <c r="H145" s="1">
        <v>2.0</v>
      </c>
      <c r="I145" s="1">
        <v>7.0</v>
      </c>
      <c r="J145" s="2">
        <v>10759.0</v>
      </c>
      <c r="K145" s="2">
        <v>7826.0</v>
      </c>
      <c r="N145" s="4" t="str">
        <f>IFERROR(__xludf.DUMMYFUNCTION("TEXTJOIN("","", TRUE, FILTER($E$2:$E1000 &amp; $C$2:$C1000, $A$2:$A1000=A145, $B$2:$B1000=B145, $D$2:$D1000&lt;&gt;D145))"),"탑신현우,정글이진건,미드정용운,원딜이창호,서폿심재현")</f>
        <v>탑신현우,정글이진건,미드정용운,원딜이창호,서폿심재현</v>
      </c>
    </row>
    <row r="146">
      <c r="A146" s="7">
        <v>46054.0</v>
      </c>
      <c r="B146" s="1">
        <v>3.0</v>
      </c>
      <c r="C146" s="1" t="s">
        <v>41</v>
      </c>
      <c r="D146" s="1" t="s">
        <v>16</v>
      </c>
      <c r="E146" s="1" t="s">
        <v>31</v>
      </c>
      <c r="F146" s="1" t="s">
        <v>61</v>
      </c>
      <c r="G146" s="1">
        <v>9.0</v>
      </c>
      <c r="H146" s="1">
        <v>1.0</v>
      </c>
      <c r="I146" s="1">
        <v>9.0</v>
      </c>
      <c r="J146" s="2">
        <v>10805.0</v>
      </c>
      <c r="K146" s="2">
        <v>7400.0</v>
      </c>
      <c r="N146" s="4" t="str">
        <f>IFERROR(__xludf.DUMMYFUNCTION("TEXTJOIN("","", TRUE, FILTER($E$2:$E1000 &amp; $C$2:$C1000, $A$2:$A1000=A146, $B$2:$B1000=B146, $D$2:$D1000&lt;&gt;D146))"),"탑신현우,정글이진건,미드정용운,원딜이창호,서폿심재현")</f>
        <v>탑신현우,정글이진건,미드정용운,원딜이창호,서폿심재현</v>
      </c>
    </row>
    <row r="147">
      <c r="A147" s="7">
        <v>46054.0</v>
      </c>
      <c r="B147" s="1">
        <v>3.0</v>
      </c>
      <c r="C147" s="1" t="s">
        <v>50</v>
      </c>
      <c r="D147" s="1" t="s">
        <v>34</v>
      </c>
      <c r="E147" s="1" t="s">
        <v>17</v>
      </c>
      <c r="F147" s="1" t="s">
        <v>72</v>
      </c>
      <c r="G147" s="1">
        <v>2.0</v>
      </c>
      <c r="H147" s="1">
        <v>2.0</v>
      </c>
      <c r="I147" s="1">
        <v>0.0</v>
      </c>
      <c r="J147" s="2">
        <v>4341.0</v>
      </c>
      <c r="K147" s="2">
        <v>5506.0</v>
      </c>
      <c r="N147" s="4" t="str">
        <f>IFERROR(__xludf.DUMMYFUNCTION("TEXTJOIN("","", TRUE, FILTER($E$2:$E1000 &amp; $C$2:$C1000, $A$2:$A1000=A147, $B$2:$B1000=B147, $D$2:$D1000&lt;&gt;D147))"),"탑신동혁,정글지범진,미드박상호,원딜김응민,서폿김현수")</f>
        <v>탑신동혁,정글지범진,미드박상호,원딜김응민,서폿김현수</v>
      </c>
    </row>
    <row r="148">
      <c r="A148" s="7">
        <v>46054.0</v>
      </c>
      <c r="B148" s="1">
        <v>3.0</v>
      </c>
      <c r="C148" s="1" t="s">
        <v>43</v>
      </c>
      <c r="D148" s="1" t="s">
        <v>34</v>
      </c>
      <c r="E148" s="1" t="s">
        <v>23</v>
      </c>
      <c r="F148" s="1" t="s">
        <v>84</v>
      </c>
      <c r="G148" s="1">
        <v>0.0</v>
      </c>
      <c r="H148" s="1">
        <v>4.0</v>
      </c>
      <c r="I148" s="1">
        <v>2.0</v>
      </c>
      <c r="J148" s="2">
        <v>4684.0</v>
      </c>
      <c r="K148" s="2">
        <v>4943.0</v>
      </c>
      <c r="N148" s="4" t="str">
        <f>IFERROR(__xludf.DUMMYFUNCTION("TEXTJOIN("","", TRUE, FILTER($E$2:$E1000 &amp; $C$2:$C1000, $A$2:$A1000=A148, $B$2:$B1000=B148, $D$2:$D1000&lt;&gt;D148))"),"탑신동혁,정글지범진,미드박상호,원딜김응민,서폿김현수")</f>
        <v>탑신동혁,정글지범진,미드박상호,원딜김응민,서폿김현수</v>
      </c>
    </row>
    <row r="149">
      <c r="A149" s="7">
        <v>46054.0</v>
      </c>
      <c r="B149" s="1">
        <v>3.0</v>
      </c>
      <c r="C149" s="1" t="s">
        <v>28</v>
      </c>
      <c r="D149" s="1" t="s">
        <v>34</v>
      </c>
      <c r="E149" s="1" t="s">
        <v>19</v>
      </c>
      <c r="F149" s="1" t="s">
        <v>64</v>
      </c>
      <c r="G149" s="1">
        <v>1.0</v>
      </c>
      <c r="H149" s="1">
        <v>3.0</v>
      </c>
      <c r="I149" s="1">
        <v>1.0</v>
      </c>
      <c r="J149" s="2">
        <v>7667.0</v>
      </c>
      <c r="K149" s="2">
        <v>5340.0</v>
      </c>
      <c r="N149" s="4" t="str">
        <f>IFERROR(__xludf.DUMMYFUNCTION("TEXTJOIN("","", TRUE, FILTER($E$2:$E1000 &amp; $C$2:$C1000, $A$2:$A1000=A149, $B$2:$B1000=B149, $D$2:$D1000&lt;&gt;D149))"),"탑신동혁,정글지범진,미드박상호,원딜김응민,서폿김현수")</f>
        <v>탑신동혁,정글지범진,미드박상호,원딜김응민,서폿김현수</v>
      </c>
    </row>
    <row r="150">
      <c r="A150" s="7">
        <v>46054.0</v>
      </c>
      <c r="B150" s="1">
        <v>3.0</v>
      </c>
      <c r="C150" s="1" t="s">
        <v>39</v>
      </c>
      <c r="D150" s="1" t="s">
        <v>34</v>
      </c>
      <c r="E150" s="1" t="s">
        <v>29</v>
      </c>
      <c r="F150" s="1" t="s">
        <v>60</v>
      </c>
      <c r="G150" s="1">
        <v>1.0</v>
      </c>
      <c r="H150" s="1">
        <v>9.0</v>
      </c>
      <c r="I150" s="1">
        <v>2.0</v>
      </c>
      <c r="J150" s="2">
        <v>9872.0</v>
      </c>
      <c r="K150" s="2">
        <v>5350.0</v>
      </c>
      <c r="N150" s="4" t="str">
        <f>IFERROR(__xludf.DUMMYFUNCTION("TEXTJOIN("","", TRUE, FILTER($E$2:$E1000 &amp; $C$2:$C1000, $A$2:$A1000=A150, $B$2:$B1000=B150, $D$2:$D1000&lt;&gt;D150))"),"탑신동혁,정글지범진,미드박상호,원딜김응민,서폿김현수")</f>
        <v>탑신동혁,정글지범진,미드박상호,원딜김응민,서폿김현수</v>
      </c>
    </row>
    <row r="151">
      <c r="A151" s="7">
        <v>46054.0</v>
      </c>
      <c r="B151" s="1">
        <v>3.0</v>
      </c>
      <c r="C151" s="1" t="s">
        <v>36</v>
      </c>
      <c r="D151" s="1" t="s">
        <v>34</v>
      </c>
      <c r="E151" s="1" t="s">
        <v>31</v>
      </c>
      <c r="F151" s="1" t="s">
        <v>49</v>
      </c>
      <c r="G151" s="1">
        <v>2.0</v>
      </c>
      <c r="H151" s="1">
        <v>9.0</v>
      </c>
      <c r="I151" s="1">
        <v>1.0</v>
      </c>
      <c r="J151" s="2">
        <v>8850.0</v>
      </c>
      <c r="K151" s="2">
        <v>5118.0</v>
      </c>
      <c r="N151" s="4" t="str">
        <f>IFERROR(__xludf.DUMMYFUNCTION("TEXTJOIN("","", TRUE, FILTER($E$2:$E1000 &amp; $C$2:$C1000, $A$2:$A1000=A151, $B$2:$B1000=B151, $D$2:$D1000&lt;&gt;D151))"),"탑신동혁,정글지범진,미드박상호,원딜김응민,서폿김현수")</f>
        <v>탑신동혁,정글지범진,미드박상호,원딜김응민,서폿김현수</v>
      </c>
    </row>
    <row r="152">
      <c r="A152" s="7">
        <v>46096.0</v>
      </c>
      <c r="B152" s="1">
        <v>1.0</v>
      </c>
      <c r="C152" s="1" t="s">
        <v>38</v>
      </c>
      <c r="D152" s="1" t="s">
        <v>16</v>
      </c>
      <c r="E152" s="1" t="s">
        <v>17</v>
      </c>
      <c r="F152" s="1" t="s">
        <v>101</v>
      </c>
      <c r="G152" s="1">
        <v>9.0</v>
      </c>
      <c r="H152" s="1">
        <v>6.0</v>
      </c>
      <c r="I152" s="1">
        <v>15.0</v>
      </c>
      <c r="J152" s="2">
        <v>33358.0</v>
      </c>
      <c r="K152" s="2">
        <v>16462.0</v>
      </c>
      <c r="N152" s="4" t="str">
        <f>IFERROR(__xludf.DUMMYFUNCTION("TEXTJOIN("","", TRUE, FILTER($E$2:$E1000 &amp; $C$2:$C1000, $A$2:$A1000=A152, $B$2:$B1000=B152, $D$2:$D1000&lt;&gt;D152))"),"탑임성빈,정글이진건,미드정용운,원딜이창호,서폿이세환")</f>
        <v>탑임성빈,정글이진건,미드정용운,원딜이창호,서폿이세환</v>
      </c>
    </row>
    <row r="153">
      <c r="A153" s="7">
        <v>46096.0</v>
      </c>
      <c r="B153" s="1">
        <v>1.0</v>
      </c>
      <c r="C153" s="1" t="s">
        <v>22</v>
      </c>
      <c r="D153" s="1" t="s">
        <v>16</v>
      </c>
      <c r="E153" s="1" t="s">
        <v>23</v>
      </c>
      <c r="F153" s="1" t="s">
        <v>67</v>
      </c>
      <c r="G153" s="1">
        <v>5.0</v>
      </c>
      <c r="H153" s="1">
        <v>2.0</v>
      </c>
      <c r="I153" s="1">
        <v>22.0</v>
      </c>
      <c r="J153" s="2">
        <v>19621.0</v>
      </c>
      <c r="K153" s="2">
        <v>14209.0</v>
      </c>
      <c r="N153" s="4" t="str">
        <f>IFERROR(__xludf.DUMMYFUNCTION("TEXTJOIN("","", TRUE, FILTER($E$2:$E1000 &amp; $C$2:$C1000, $A$2:$A1000=A153, $B$2:$B1000=B153, $D$2:$D1000&lt;&gt;D153))"),"탑임성빈,정글이진건,미드정용운,원딜이창호,서폿이세환")</f>
        <v>탑임성빈,정글이진건,미드정용운,원딜이창호,서폿이세환</v>
      </c>
    </row>
    <row r="154">
      <c r="A154" s="7">
        <v>46096.0</v>
      </c>
      <c r="B154" s="1">
        <v>1.0</v>
      </c>
      <c r="C154" s="1" t="s">
        <v>15</v>
      </c>
      <c r="D154" s="1" t="s">
        <v>16</v>
      </c>
      <c r="E154" s="1" t="s">
        <v>19</v>
      </c>
      <c r="F154" s="1" t="s">
        <v>25</v>
      </c>
      <c r="G154" s="1">
        <v>12.0</v>
      </c>
      <c r="H154" s="1">
        <v>3.0</v>
      </c>
      <c r="I154" s="1">
        <v>8.0</v>
      </c>
      <c r="J154" s="2">
        <v>36202.0</v>
      </c>
      <c r="K154" s="2">
        <v>17709.0</v>
      </c>
      <c r="N154" s="4" t="str">
        <f>IFERROR(__xludf.DUMMYFUNCTION("TEXTJOIN("","", TRUE, FILTER($E$2:$E1000 &amp; $C$2:$C1000, $A$2:$A1000=A154, $B$2:$B1000=B154, $D$2:$D1000&lt;&gt;D154))"),"탑임성빈,정글이진건,미드정용운,원딜이창호,서폿이세환")</f>
        <v>탑임성빈,정글이진건,미드정용운,원딜이창호,서폿이세환</v>
      </c>
    </row>
    <row r="155">
      <c r="A155" s="7">
        <v>46096.0</v>
      </c>
      <c r="B155" s="1">
        <v>1.0</v>
      </c>
      <c r="C155" s="1" t="s">
        <v>52</v>
      </c>
      <c r="D155" s="1" t="s">
        <v>16</v>
      </c>
      <c r="E155" s="1" t="s">
        <v>29</v>
      </c>
      <c r="F155" s="1" t="s">
        <v>85</v>
      </c>
      <c r="G155" s="1">
        <v>14.0</v>
      </c>
      <c r="H155" s="1">
        <v>6.0</v>
      </c>
      <c r="I155" s="1">
        <v>11.0</v>
      </c>
      <c r="J155" s="2">
        <v>44801.0</v>
      </c>
      <c r="K155" s="2">
        <v>17881.0</v>
      </c>
      <c r="N155" s="4" t="str">
        <f>IFERROR(__xludf.DUMMYFUNCTION("TEXTJOIN("","", TRUE, FILTER($E$2:$E1000 &amp; $C$2:$C1000, $A$2:$A1000=A155, $B$2:$B1000=B155, $D$2:$D1000&lt;&gt;D155))"),"탑임성빈,정글이진건,미드정용운,원딜이창호,서폿이세환")</f>
        <v>탑임성빈,정글이진건,미드정용운,원딜이창호,서폿이세환</v>
      </c>
    </row>
    <row r="156">
      <c r="A156" s="7">
        <v>46096.0</v>
      </c>
      <c r="B156" s="1">
        <v>1.0</v>
      </c>
      <c r="C156" s="1" t="s">
        <v>50</v>
      </c>
      <c r="D156" s="1" t="s">
        <v>16</v>
      </c>
      <c r="E156" s="1" t="s">
        <v>31</v>
      </c>
      <c r="F156" s="1" t="s">
        <v>66</v>
      </c>
      <c r="G156" s="1">
        <v>0.0</v>
      </c>
      <c r="H156" s="1">
        <v>5.0</v>
      </c>
      <c r="I156" s="1">
        <v>21.0</v>
      </c>
      <c r="J156" s="2">
        <v>7262.0</v>
      </c>
      <c r="K156" s="2">
        <v>10064.0</v>
      </c>
      <c r="N156" s="4" t="str">
        <f>IFERROR(__xludf.DUMMYFUNCTION("TEXTJOIN("","", TRUE, FILTER($E$2:$E1000 &amp; $C$2:$C1000, $A$2:$A1000=A156, $B$2:$B1000=B156, $D$2:$D1000&lt;&gt;D156))"),"탑임성빈,정글이진건,미드정용운,원딜이창호,서폿이세환")</f>
        <v>탑임성빈,정글이진건,미드정용운,원딜이창호,서폿이세환</v>
      </c>
    </row>
    <row r="157">
      <c r="A157" s="7">
        <v>46096.0</v>
      </c>
      <c r="B157" s="1">
        <v>1.0</v>
      </c>
      <c r="C157" s="1" t="s">
        <v>33</v>
      </c>
      <c r="D157" s="1" t="s">
        <v>34</v>
      </c>
      <c r="E157" s="1" t="s">
        <v>17</v>
      </c>
      <c r="F157" s="1" t="s">
        <v>102</v>
      </c>
      <c r="G157" s="1">
        <v>2.0</v>
      </c>
      <c r="H157" s="1">
        <v>7.0</v>
      </c>
      <c r="I157" s="1">
        <v>3.0</v>
      </c>
      <c r="J157" s="2">
        <v>16171.0</v>
      </c>
      <c r="K157" s="2">
        <v>12254.0</v>
      </c>
      <c r="N157" s="4" t="str">
        <f>IFERROR(__xludf.DUMMYFUNCTION("TEXTJOIN("","", TRUE, FILTER($E$2:$E1000 &amp; $C$2:$C1000, $A$2:$A1000=A157, $B$2:$B1000=B157, $D$2:$D1000&lt;&gt;D157))"),"탑김응민,정글지범진,미드박상호,원딜천규환,서폿신현우")</f>
        <v>탑김응민,정글지범진,미드박상호,원딜천규환,서폿신현우</v>
      </c>
    </row>
    <row r="158">
      <c r="A158" s="7">
        <v>46096.0</v>
      </c>
      <c r="B158" s="1">
        <v>1.0</v>
      </c>
      <c r="C158" s="1" t="s">
        <v>43</v>
      </c>
      <c r="D158" s="1" t="s">
        <v>34</v>
      </c>
      <c r="E158" s="1" t="s">
        <v>23</v>
      </c>
      <c r="F158" s="1" t="s">
        <v>84</v>
      </c>
      <c r="G158" s="1">
        <v>4.0</v>
      </c>
      <c r="H158" s="1">
        <v>12.0</v>
      </c>
      <c r="I158" s="1">
        <v>5.0</v>
      </c>
      <c r="J158" s="2">
        <v>14203.0</v>
      </c>
      <c r="K158" s="2">
        <v>14076.0</v>
      </c>
      <c r="N158" s="4" t="str">
        <f>IFERROR(__xludf.DUMMYFUNCTION("TEXTJOIN("","", TRUE, FILTER($E$2:$E1000 &amp; $C$2:$C1000, $A$2:$A1000=A158, $B$2:$B1000=B158, $D$2:$D1000&lt;&gt;D158))"),"탑김응민,정글지범진,미드박상호,원딜천규환,서폿신현우")</f>
        <v>탑김응민,정글지범진,미드박상호,원딜천규환,서폿신현우</v>
      </c>
    </row>
    <row r="159">
      <c r="A159" s="7">
        <v>46096.0</v>
      </c>
      <c r="B159" s="1">
        <v>1.0</v>
      </c>
      <c r="C159" s="1" t="s">
        <v>28</v>
      </c>
      <c r="D159" s="1" t="s">
        <v>34</v>
      </c>
      <c r="E159" s="1" t="s">
        <v>19</v>
      </c>
      <c r="F159" s="1" t="s">
        <v>103</v>
      </c>
      <c r="G159" s="1">
        <v>7.0</v>
      </c>
      <c r="H159" s="1">
        <v>6.0</v>
      </c>
      <c r="I159" s="1">
        <v>7.0</v>
      </c>
      <c r="J159" s="2">
        <v>39095.0</v>
      </c>
      <c r="K159" s="2">
        <v>14322.0</v>
      </c>
      <c r="N159" s="4" t="str">
        <f>IFERROR(__xludf.DUMMYFUNCTION("TEXTJOIN("","", TRUE, FILTER($E$2:$E1000 &amp; $C$2:$C1000, $A$2:$A1000=A159, $B$2:$B1000=B159, $D$2:$D1000&lt;&gt;D159))"),"탑김응민,정글지범진,미드박상호,원딜천규환,서폿신현우")</f>
        <v>탑김응민,정글지범진,미드박상호,원딜천규환,서폿신현우</v>
      </c>
    </row>
    <row r="160">
      <c r="A160" s="7">
        <v>46096.0</v>
      </c>
      <c r="B160" s="1">
        <v>1.0</v>
      </c>
      <c r="C160" s="1" t="s">
        <v>39</v>
      </c>
      <c r="D160" s="1" t="s">
        <v>34</v>
      </c>
      <c r="E160" s="1" t="s">
        <v>29</v>
      </c>
      <c r="F160" s="1" t="s">
        <v>91</v>
      </c>
      <c r="G160" s="1">
        <v>7.0</v>
      </c>
      <c r="H160" s="1">
        <v>6.0</v>
      </c>
      <c r="I160" s="1">
        <v>3.0</v>
      </c>
      <c r="J160" s="2">
        <v>30995.0</v>
      </c>
      <c r="K160" s="2">
        <v>14959.0</v>
      </c>
      <c r="N160" s="4" t="str">
        <f>IFERROR(__xludf.DUMMYFUNCTION("TEXTJOIN("","", TRUE, FILTER($E$2:$E1000 &amp; $C$2:$C1000, $A$2:$A1000=A160, $B$2:$B1000=B160, $D$2:$D1000&lt;&gt;D160))"),"탑김응민,정글지범진,미드박상호,원딜천규환,서폿신현우")</f>
        <v>탑김응민,정글지범진,미드박상호,원딜천규환,서폿신현우</v>
      </c>
    </row>
    <row r="161">
      <c r="A161" s="7">
        <v>46096.0</v>
      </c>
      <c r="B161" s="1">
        <v>1.0</v>
      </c>
      <c r="C161" s="1" t="s">
        <v>21</v>
      </c>
      <c r="D161" s="1" t="s">
        <v>34</v>
      </c>
      <c r="E161" s="1" t="s">
        <v>31</v>
      </c>
      <c r="F161" s="1" t="s">
        <v>61</v>
      </c>
      <c r="G161" s="1">
        <v>2.0</v>
      </c>
      <c r="H161" s="1">
        <v>9.0</v>
      </c>
      <c r="I161" s="1">
        <v>10.0</v>
      </c>
      <c r="J161" s="2">
        <v>25374.0</v>
      </c>
      <c r="K161" s="2">
        <v>10260.0</v>
      </c>
      <c r="N161" s="4" t="str">
        <f>IFERROR(__xludf.DUMMYFUNCTION("TEXTJOIN("","", TRUE, FILTER($E$2:$E1000 &amp; $C$2:$C1000, $A$2:$A1000=A161, $B$2:$B1000=B161, $D$2:$D1000&lt;&gt;D161))"),"탑김응민,정글지범진,미드박상호,원딜천규환,서폿신현우")</f>
        <v>탑김응민,정글지범진,미드박상호,원딜천규환,서폿신현우</v>
      </c>
    </row>
    <row r="162">
      <c r="A162" s="7">
        <v>46096.0</v>
      </c>
      <c r="B162" s="1">
        <v>2.0</v>
      </c>
      <c r="C162" s="1" t="s">
        <v>38</v>
      </c>
      <c r="D162" s="1" t="s">
        <v>16</v>
      </c>
      <c r="E162" s="1" t="s">
        <v>17</v>
      </c>
      <c r="F162" s="1" t="s">
        <v>104</v>
      </c>
      <c r="G162" s="1">
        <v>10.0</v>
      </c>
      <c r="H162" s="1">
        <v>3.0</v>
      </c>
      <c r="I162" s="1">
        <v>1.0</v>
      </c>
      <c r="J162" s="2">
        <v>36181.0</v>
      </c>
      <c r="K162" s="2">
        <v>15190.0</v>
      </c>
      <c r="N162" s="4" t="str">
        <f>IFERROR(__xludf.DUMMYFUNCTION("TEXTJOIN("","", TRUE, FILTER($E$2:$E1000 &amp; $C$2:$C1000, $A$2:$A1000=A162, $B$2:$B1000=B162, $D$2:$D1000&lt;&gt;D162))"),"탑임성빈,정글이진건,미드정용운,원딜이창호,서폿이세환")</f>
        <v>탑임성빈,정글이진건,미드정용운,원딜이창호,서폿이세환</v>
      </c>
    </row>
    <row r="163">
      <c r="A163" s="7">
        <v>46096.0</v>
      </c>
      <c r="B163" s="1">
        <v>2.0</v>
      </c>
      <c r="C163" s="1" t="s">
        <v>22</v>
      </c>
      <c r="D163" s="1" t="s">
        <v>16</v>
      </c>
      <c r="E163" s="1" t="s">
        <v>23</v>
      </c>
      <c r="F163" s="1" t="s">
        <v>67</v>
      </c>
      <c r="G163" s="1">
        <v>2.0</v>
      </c>
      <c r="H163" s="1">
        <v>1.0</v>
      </c>
      <c r="I163" s="1">
        <v>13.0</v>
      </c>
      <c r="J163" s="2">
        <v>6231.0</v>
      </c>
      <c r="K163" s="2">
        <v>11025.0</v>
      </c>
      <c r="N163" s="4" t="str">
        <f>IFERROR(__xludf.DUMMYFUNCTION("TEXTJOIN("","", TRUE, FILTER($E$2:$E1000 &amp; $C$2:$C1000, $A$2:$A1000=A163, $B$2:$B1000=B163, $D$2:$D1000&lt;&gt;D163))"),"탑임성빈,정글이진건,미드정용운,원딜이창호,서폿이세환")</f>
        <v>탑임성빈,정글이진건,미드정용운,원딜이창호,서폿이세환</v>
      </c>
    </row>
    <row r="164">
      <c r="A164" s="7">
        <v>46096.0</v>
      </c>
      <c r="B164" s="1">
        <v>2.0</v>
      </c>
      <c r="C164" s="1" t="s">
        <v>15</v>
      </c>
      <c r="D164" s="1" t="s">
        <v>16</v>
      </c>
      <c r="E164" s="1" t="s">
        <v>19</v>
      </c>
      <c r="F164" s="1" t="s">
        <v>25</v>
      </c>
      <c r="G164" s="1">
        <v>4.0</v>
      </c>
      <c r="H164" s="1">
        <v>1.0</v>
      </c>
      <c r="I164" s="1">
        <v>3.0</v>
      </c>
      <c r="J164" s="2">
        <v>18068.0</v>
      </c>
      <c r="K164" s="2">
        <v>11224.0</v>
      </c>
      <c r="N164" s="4" t="str">
        <f>IFERROR(__xludf.DUMMYFUNCTION("TEXTJOIN("","", TRUE, FILTER($E$2:$E1000 &amp; $C$2:$C1000, $A$2:$A1000=A164, $B$2:$B1000=B164, $D$2:$D1000&lt;&gt;D164))"),"탑임성빈,정글이진건,미드정용운,원딜이창호,서폿이세환")</f>
        <v>탑임성빈,정글이진건,미드정용운,원딜이창호,서폿이세환</v>
      </c>
    </row>
    <row r="165">
      <c r="A165" s="7">
        <v>46096.0</v>
      </c>
      <c r="B165" s="1">
        <v>2.0</v>
      </c>
      <c r="C165" s="1" t="s">
        <v>52</v>
      </c>
      <c r="D165" s="1" t="s">
        <v>16</v>
      </c>
      <c r="E165" s="1" t="s">
        <v>29</v>
      </c>
      <c r="F165" s="1" t="s">
        <v>93</v>
      </c>
      <c r="G165" s="1">
        <v>5.0</v>
      </c>
      <c r="H165" s="1">
        <v>3.0</v>
      </c>
      <c r="I165" s="1">
        <v>7.0</v>
      </c>
      <c r="J165" s="2">
        <v>15329.0</v>
      </c>
      <c r="K165" s="2">
        <v>13275.0</v>
      </c>
      <c r="N165" s="4" t="str">
        <f>IFERROR(__xludf.DUMMYFUNCTION("TEXTJOIN("","", TRUE, FILTER($E$2:$E1000 &amp; $C$2:$C1000, $A$2:$A1000=A165, $B$2:$B1000=B165, $D$2:$D1000&lt;&gt;D165))"),"탑임성빈,정글이진건,미드정용운,원딜이창호,서폿이세환")</f>
        <v>탑임성빈,정글이진건,미드정용운,원딜이창호,서폿이세환</v>
      </c>
    </row>
    <row r="166">
      <c r="A166" s="7">
        <v>46096.0</v>
      </c>
      <c r="B166" s="1">
        <v>2.0</v>
      </c>
      <c r="C166" s="1" t="s">
        <v>50</v>
      </c>
      <c r="D166" s="1" t="s">
        <v>16</v>
      </c>
      <c r="E166" s="1" t="s">
        <v>31</v>
      </c>
      <c r="F166" s="1" t="s">
        <v>105</v>
      </c>
      <c r="G166" s="1">
        <v>4.0</v>
      </c>
      <c r="H166" s="1">
        <v>3.0</v>
      </c>
      <c r="I166" s="1">
        <v>12.0</v>
      </c>
      <c r="J166" s="2">
        <v>15046.0</v>
      </c>
      <c r="K166" s="2">
        <v>8988.0</v>
      </c>
      <c r="N166" s="4" t="str">
        <f>IFERROR(__xludf.DUMMYFUNCTION("TEXTJOIN("","", TRUE, FILTER($E$2:$E1000 &amp; $C$2:$C1000, $A$2:$A1000=A166, $B$2:$B1000=B166, $D$2:$D1000&lt;&gt;D166))"),"탑임성빈,정글이진건,미드정용운,원딜이창호,서폿이세환")</f>
        <v>탑임성빈,정글이진건,미드정용운,원딜이창호,서폿이세환</v>
      </c>
    </row>
    <row r="167">
      <c r="A167" s="7">
        <v>46096.0</v>
      </c>
      <c r="B167" s="1">
        <v>2.0</v>
      </c>
      <c r="C167" s="1" t="s">
        <v>33</v>
      </c>
      <c r="D167" s="1" t="s">
        <v>34</v>
      </c>
      <c r="E167" s="1" t="s">
        <v>17</v>
      </c>
      <c r="F167" s="1" t="s">
        <v>62</v>
      </c>
      <c r="G167" s="1">
        <v>1.0</v>
      </c>
      <c r="H167" s="1">
        <v>5.0</v>
      </c>
      <c r="I167" s="1">
        <v>1.0</v>
      </c>
      <c r="J167" s="2">
        <v>9212.0</v>
      </c>
      <c r="K167" s="2">
        <v>9470.0</v>
      </c>
      <c r="N167" s="4" t="str">
        <f>IFERROR(__xludf.DUMMYFUNCTION("TEXTJOIN("","", TRUE, FILTER($E$2:$E1000 &amp; $C$2:$C1000, $A$2:$A1000=A167, $B$2:$B1000=B167, $D$2:$D1000&lt;&gt;D167))"),"탑김응민,정글지범진,미드박상호,원딜천규환,서폿신현우")</f>
        <v>탑김응민,정글지범진,미드박상호,원딜천규환,서폿신현우</v>
      </c>
    </row>
    <row r="168">
      <c r="A168" s="7">
        <v>46096.0</v>
      </c>
      <c r="B168" s="1">
        <v>2.0</v>
      </c>
      <c r="C168" s="1" t="s">
        <v>43</v>
      </c>
      <c r="D168" s="1" t="s">
        <v>34</v>
      </c>
      <c r="E168" s="1" t="s">
        <v>23</v>
      </c>
      <c r="F168" s="1" t="s">
        <v>106</v>
      </c>
      <c r="G168" s="1">
        <v>4.0</v>
      </c>
      <c r="H168" s="1">
        <v>4.0</v>
      </c>
      <c r="I168" s="1">
        <v>2.0</v>
      </c>
      <c r="J168" s="2">
        <v>11776.0</v>
      </c>
      <c r="K168" s="2">
        <v>11390.0</v>
      </c>
      <c r="N168" s="4" t="str">
        <f>IFERROR(__xludf.DUMMYFUNCTION("TEXTJOIN("","", TRUE, FILTER($E$2:$E1000 &amp; $C$2:$C1000, $A$2:$A1000=A168, $B$2:$B1000=B168, $D$2:$D1000&lt;&gt;D168))"),"탑김응민,정글지범진,미드박상호,원딜천규환,서폿신현우")</f>
        <v>탑김응민,정글지범진,미드박상호,원딜천규환,서폿신현우</v>
      </c>
    </row>
    <row r="169">
      <c r="A169" s="7">
        <v>46096.0</v>
      </c>
      <c r="B169" s="1">
        <v>2.0</v>
      </c>
      <c r="C169" s="1" t="s">
        <v>28</v>
      </c>
      <c r="D169" s="1" t="s">
        <v>34</v>
      </c>
      <c r="E169" s="1" t="s">
        <v>19</v>
      </c>
      <c r="F169" s="1" t="s">
        <v>103</v>
      </c>
      <c r="G169" s="1">
        <v>2.0</v>
      </c>
      <c r="H169" s="1">
        <v>4.0</v>
      </c>
      <c r="I169" s="1">
        <v>2.0</v>
      </c>
      <c r="J169" s="2">
        <v>15387.0</v>
      </c>
      <c r="K169" s="2">
        <v>10340.0</v>
      </c>
      <c r="N169" s="4" t="str">
        <f>IFERROR(__xludf.DUMMYFUNCTION("TEXTJOIN("","", TRUE, FILTER($E$2:$E1000 &amp; $C$2:$C1000, $A$2:$A1000=A169, $B$2:$B1000=B169, $D$2:$D1000&lt;&gt;D169))"),"탑김응민,정글지범진,미드박상호,원딜천규환,서폿신현우")</f>
        <v>탑김응민,정글지범진,미드박상호,원딜천규환,서폿신현우</v>
      </c>
    </row>
    <row r="170">
      <c r="A170" s="7">
        <v>46096.0</v>
      </c>
      <c r="B170" s="1">
        <v>2.0</v>
      </c>
      <c r="C170" s="1" t="s">
        <v>39</v>
      </c>
      <c r="D170" s="1" t="s">
        <v>34</v>
      </c>
      <c r="E170" s="1" t="s">
        <v>29</v>
      </c>
      <c r="F170" s="1" t="s">
        <v>40</v>
      </c>
      <c r="G170" s="1">
        <v>2.0</v>
      </c>
      <c r="H170" s="1">
        <v>6.0</v>
      </c>
      <c r="I170" s="1">
        <v>3.0</v>
      </c>
      <c r="J170" s="2">
        <v>12445.0</v>
      </c>
      <c r="K170" s="2">
        <v>11813.0</v>
      </c>
      <c r="N170" s="4" t="str">
        <f>IFERROR(__xludf.DUMMYFUNCTION("TEXTJOIN("","", TRUE, FILTER($E$2:$E1000 &amp; $C$2:$C1000, $A$2:$A1000=A170, $B$2:$B1000=B170, $D$2:$D1000&lt;&gt;D170))"),"탑김응민,정글지범진,미드박상호,원딜천규환,서폿신현우")</f>
        <v>탑김응민,정글지범진,미드박상호,원딜천규환,서폿신현우</v>
      </c>
    </row>
    <row r="171">
      <c r="A171" s="7">
        <v>46096.0</v>
      </c>
      <c r="B171" s="1">
        <v>2.0</v>
      </c>
      <c r="C171" s="1" t="s">
        <v>21</v>
      </c>
      <c r="D171" s="1" t="s">
        <v>34</v>
      </c>
      <c r="E171" s="1" t="s">
        <v>31</v>
      </c>
      <c r="F171" s="1" t="s">
        <v>85</v>
      </c>
      <c r="G171" s="1">
        <v>2.0</v>
      </c>
      <c r="H171" s="1">
        <v>6.0</v>
      </c>
      <c r="I171" s="1">
        <v>5.0</v>
      </c>
      <c r="J171" s="2">
        <v>22173.0</v>
      </c>
      <c r="K171" s="2">
        <v>9298.0</v>
      </c>
      <c r="N171" s="4" t="str">
        <f>IFERROR(__xludf.DUMMYFUNCTION("TEXTJOIN("","", TRUE, FILTER($E$2:$E1000 &amp; $C$2:$C1000, $A$2:$A1000=A171, $B$2:$B1000=B171, $D$2:$D1000&lt;&gt;D171))"),"탑김응민,정글지범진,미드박상호,원딜천규환,서폿신현우")</f>
        <v>탑김응민,정글지범진,미드박상호,원딜천규환,서폿신현우</v>
      </c>
    </row>
    <row r="172">
      <c r="A172" s="7">
        <v>46096.0</v>
      </c>
      <c r="B172" s="1">
        <v>3.0</v>
      </c>
      <c r="C172" s="1" t="s">
        <v>38</v>
      </c>
      <c r="D172" s="1" t="s">
        <v>16</v>
      </c>
      <c r="E172" s="1" t="s">
        <v>17</v>
      </c>
      <c r="F172" s="1" t="s">
        <v>25</v>
      </c>
      <c r="G172" s="1">
        <v>3.0</v>
      </c>
      <c r="H172" s="1">
        <v>2.0</v>
      </c>
      <c r="I172" s="1">
        <v>5.0</v>
      </c>
      <c r="J172" s="2">
        <v>16803.0</v>
      </c>
      <c r="K172" s="2">
        <v>11594.0</v>
      </c>
      <c r="N172" s="4" t="str">
        <f>IFERROR(__xludf.DUMMYFUNCTION("TEXTJOIN("","", TRUE, FILTER($E$2:$E1000 &amp; $C$2:$C1000, $A$2:$A1000=A172, $B$2:$B1000=B172, $D$2:$D1000&lt;&gt;D172))"),"탑정용운,정글이세환,미드이진건,원딜이창호,서폿임성빈")</f>
        <v>탑정용운,정글이세환,미드이진건,원딜이창호,서폿임성빈</v>
      </c>
    </row>
    <row r="173">
      <c r="A173" s="7">
        <v>46096.0</v>
      </c>
      <c r="B173" s="1">
        <v>3.0</v>
      </c>
      <c r="C173" s="1" t="s">
        <v>22</v>
      </c>
      <c r="D173" s="1" t="s">
        <v>16</v>
      </c>
      <c r="E173" s="1" t="s">
        <v>23</v>
      </c>
      <c r="F173" s="1" t="s">
        <v>44</v>
      </c>
      <c r="G173" s="1">
        <v>9.0</v>
      </c>
      <c r="H173" s="1">
        <v>3.0</v>
      </c>
      <c r="I173" s="1">
        <v>10.0</v>
      </c>
      <c r="J173" s="2">
        <v>14225.0</v>
      </c>
      <c r="K173" s="2">
        <v>13837.0</v>
      </c>
      <c r="N173" s="4" t="str">
        <f>IFERROR(__xludf.DUMMYFUNCTION("TEXTJOIN("","", TRUE, FILTER($E$2:$E1000 &amp; $C$2:$C1000, $A$2:$A1000=A173, $B$2:$B1000=B173, $D$2:$D1000&lt;&gt;D173))"),"탑정용운,정글이세환,미드이진건,원딜이창호,서폿임성빈")</f>
        <v>탑정용운,정글이세환,미드이진건,원딜이창호,서폿임성빈</v>
      </c>
    </row>
    <row r="174">
      <c r="A174" s="7">
        <v>46096.0</v>
      </c>
      <c r="B174" s="1">
        <v>3.0</v>
      </c>
      <c r="C174" s="1" t="s">
        <v>15</v>
      </c>
      <c r="D174" s="1" t="s">
        <v>16</v>
      </c>
      <c r="E174" s="1" t="s">
        <v>19</v>
      </c>
      <c r="F174" s="1" t="s">
        <v>20</v>
      </c>
      <c r="G174" s="1">
        <v>8.0</v>
      </c>
      <c r="H174" s="1">
        <v>5.0</v>
      </c>
      <c r="I174" s="1">
        <v>5.0</v>
      </c>
      <c r="J174" s="2">
        <v>19075.0</v>
      </c>
      <c r="K174" s="2">
        <v>12034.0</v>
      </c>
      <c r="N174" s="4" t="str">
        <f>IFERROR(__xludf.DUMMYFUNCTION("TEXTJOIN("","", TRUE, FILTER($E$2:$E1000 &amp; $C$2:$C1000, $A$2:$A1000=A174, $B$2:$B1000=B174, $D$2:$D1000&lt;&gt;D174))"),"탑정용운,정글이세환,미드이진건,원딜이창호,서폿임성빈")</f>
        <v>탑정용운,정글이세환,미드이진건,원딜이창호,서폿임성빈</v>
      </c>
    </row>
    <row r="175">
      <c r="A175" s="7">
        <v>46096.0</v>
      </c>
      <c r="B175" s="1">
        <v>3.0</v>
      </c>
      <c r="C175" s="1" t="s">
        <v>52</v>
      </c>
      <c r="D175" s="1" t="s">
        <v>16</v>
      </c>
      <c r="E175" s="1" t="s">
        <v>29</v>
      </c>
      <c r="F175" s="1" t="s">
        <v>85</v>
      </c>
      <c r="G175" s="1">
        <v>14.0</v>
      </c>
      <c r="H175" s="1">
        <v>2.0</v>
      </c>
      <c r="I175" s="1">
        <v>8.0</v>
      </c>
      <c r="J175" s="2">
        <v>40729.0</v>
      </c>
      <c r="K175" s="2">
        <v>15269.0</v>
      </c>
      <c r="N175" s="4" t="str">
        <f>IFERROR(__xludf.DUMMYFUNCTION("TEXTJOIN("","", TRUE, FILTER($E$2:$E1000 &amp; $C$2:$C1000, $A$2:$A1000=A175, $B$2:$B1000=B175, $D$2:$D1000&lt;&gt;D175))"),"탑정용운,정글이세환,미드이진건,원딜이창호,서폿임성빈")</f>
        <v>탑정용운,정글이세환,미드이진건,원딜이창호,서폿임성빈</v>
      </c>
    </row>
    <row r="176">
      <c r="A176" s="7">
        <v>46096.0</v>
      </c>
      <c r="B176" s="1">
        <v>3.0</v>
      </c>
      <c r="C176" s="1" t="s">
        <v>50</v>
      </c>
      <c r="D176" s="1" t="s">
        <v>16</v>
      </c>
      <c r="E176" s="1" t="s">
        <v>31</v>
      </c>
      <c r="F176" s="1" t="s">
        <v>66</v>
      </c>
      <c r="G176" s="1">
        <v>0.0</v>
      </c>
      <c r="H176" s="1">
        <v>3.0</v>
      </c>
      <c r="I176" s="1">
        <v>27.0</v>
      </c>
      <c r="J176" s="2">
        <v>9081.0</v>
      </c>
      <c r="K176" s="2">
        <v>8733.0</v>
      </c>
      <c r="N176" s="4" t="str">
        <f>IFERROR(__xludf.DUMMYFUNCTION("TEXTJOIN("","", TRUE, FILTER($E$2:$E1000 &amp; $C$2:$C1000, $A$2:$A1000=A176, $B$2:$B1000=B176, $D$2:$D1000&lt;&gt;D176))"),"탑정용운,정글이세환,미드이진건,원딜이창호,서폿임성빈")</f>
        <v>탑정용운,정글이세환,미드이진건,원딜이창호,서폿임성빈</v>
      </c>
    </row>
    <row r="177">
      <c r="A177" s="7">
        <v>46096.0</v>
      </c>
      <c r="B177" s="1">
        <v>3.0</v>
      </c>
      <c r="C177" s="1" t="s">
        <v>28</v>
      </c>
      <c r="D177" s="1" t="s">
        <v>34</v>
      </c>
      <c r="E177" s="1" t="s">
        <v>17</v>
      </c>
      <c r="F177" s="1" t="s">
        <v>93</v>
      </c>
      <c r="G177" s="1">
        <v>3.0</v>
      </c>
      <c r="H177" s="1">
        <v>4.0</v>
      </c>
      <c r="I177" s="1">
        <v>3.0</v>
      </c>
      <c r="J177" s="2">
        <v>15453.0</v>
      </c>
      <c r="K177" s="2">
        <v>8879.0</v>
      </c>
      <c r="N177" s="4" t="str">
        <f>IFERROR(__xludf.DUMMYFUNCTION("TEXTJOIN("","", TRUE, FILTER($E$2:$E1000 &amp; $C$2:$C1000, $A$2:$A1000=A177, $B$2:$B1000=B177, $D$2:$D1000&lt;&gt;D177))"),"탑김응민,정글지범진,미드박상호,원딜천규환,서폿신현우")</f>
        <v>탑김응민,정글지범진,미드박상호,원딜천규환,서폿신현우</v>
      </c>
    </row>
    <row r="178">
      <c r="A178" s="7">
        <v>46096.0</v>
      </c>
      <c r="B178" s="1">
        <v>3.0</v>
      </c>
      <c r="C178" s="1" t="s">
        <v>21</v>
      </c>
      <c r="D178" s="1" t="s">
        <v>34</v>
      </c>
      <c r="E178" s="1" t="s">
        <v>23</v>
      </c>
      <c r="F178" s="1" t="s">
        <v>107</v>
      </c>
      <c r="G178" s="1">
        <v>5.0</v>
      </c>
      <c r="H178" s="1">
        <v>5.0</v>
      </c>
      <c r="I178" s="1">
        <v>5.0</v>
      </c>
      <c r="J178" s="2">
        <v>13866.0</v>
      </c>
      <c r="K178" s="2">
        <v>10679.0</v>
      </c>
      <c r="N178" s="4" t="str">
        <f>IFERROR(__xludf.DUMMYFUNCTION("TEXTJOIN("","", TRUE, FILTER($E$2:$E1000 &amp; $C$2:$C1000, $A$2:$A1000=A178, $B$2:$B1000=B178, $D$2:$D1000&lt;&gt;D178))"),"탑김응민,정글지범진,미드박상호,원딜천규환,서폿신현우")</f>
        <v>탑김응민,정글지범진,미드박상호,원딜천규환,서폿신현우</v>
      </c>
    </row>
    <row r="179">
      <c r="A179" s="7">
        <v>46096.0</v>
      </c>
      <c r="B179" s="1">
        <v>3.0</v>
      </c>
      <c r="C179" s="1" t="s">
        <v>43</v>
      </c>
      <c r="D179" s="1" t="s">
        <v>34</v>
      </c>
      <c r="E179" s="1" t="s">
        <v>19</v>
      </c>
      <c r="F179" s="1" t="s">
        <v>64</v>
      </c>
      <c r="G179" s="1">
        <v>2.0</v>
      </c>
      <c r="H179" s="1">
        <v>6.0</v>
      </c>
      <c r="I179" s="1">
        <v>2.0</v>
      </c>
      <c r="J179" s="2">
        <v>11930.0</v>
      </c>
      <c r="K179" s="2">
        <v>8964.0</v>
      </c>
      <c r="N179" s="4" t="str">
        <f>IFERROR(__xludf.DUMMYFUNCTION("TEXTJOIN("","", TRUE, FILTER($E$2:$E1000 &amp; $C$2:$C1000, $A$2:$A1000=A179, $B$2:$B1000=B179, $D$2:$D1000&lt;&gt;D179))"),"탑김응민,정글지범진,미드박상호,원딜천규환,서폿신현우")</f>
        <v>탑김응민,정글지범진,미드박상호,원딜천규환,서폿신현우</v>
      </c>
    </row>
    <row r="180">
      <c r="A180" s="7">
        <v>46096.0</v>
      </c>
      <c r="B180" s="1">
        <v>3.0</v>
      </c>
      <c r="C180" s="1" t="s">
        <v>39</v>
      </c>
      <c r="D180" s="1" t="s">
        <v>34</v>
      </c>
      <c r="E180" s="1" t="s">
        <v>29</v>
      </c>
      <c r="F180" s="1" t="s">
        <v>81</v>
      </c>
      <c r="G180" s="1">
        <v>3.0</v>
      </c>
      <c r="H180" s="1">
        <v>7.0</v>
      </c>
      <c r="I180" s="1">
        <v>7.0</v>
      </c>
      <c r="J180" s="2">
        <v>24277.0</v>
      </c>
      <c r="K180" s="2">
        <v>11963.0</v>
      </c>
      <c r="N180" s="4" t="str">
        <f>IFERROR(__xludf.DUMMYFUNCTION("TEXTJOIN("","", TRUE, FILTER($E$2:$E1000 &amp; $C$2:$C1000, $A$2:$A1000=A180, $B$2:$B1000=B180, $D$2:$D1000&lt;&gt;D180))"),"탑김응민,정글지범진,미드박상호,원딜천규환,서폿신현우")</f>
        <v>탑김응민,정글지범진,미드박상호,원딜천규환,서폿신현우</v>
      </c>
    </row>
    <row r="181">
      <c r="A181" s="7">
        <v>46096.0</v>
      </c>
      <c r="B181" s="1">
        <v>3.0</v>
      </c>
      <c r="C181" s="1" t="s">
        <v>33</v>
      </c>
      <c r="D181" s="1" t="s">
        <v>34</v>
      </c>
      <c r="E181" s="1" t="s">
        <v>31</v>
      </c>
      <c r="F181" s="1" t="s">
        <v>58</v>
      </c>
      <c r="G181" s="1">
        <v>2.0</v>
      </c>
      <c r="H181" s="1">
        <v>12.0</v>
      </c>
      <c r="I181" s="1">
        <v>8.0</v>
      </c>
      <c r="J181" s="2">
        <v>8264.0</v>
      </c>
      <c r="K181" s="2">
        <v>7126.0</v>
      </c>
      <c r="N181" s="4" t="str">
        <f>IFERROR(__xludf.DUMMYFUNCTION("TEXTJOIN("","", TRUE, FILTER($E$2:$E1000 &amp; $C$2:$C1000, $A$2:$A1000=A181, $B$2:$B1000=B181, $D$2:$D1000&lt;&gt;D181))"),"탑김응민,정글지범진,미드박상호,원딜천규환,서폿신현우")</f>
        <v>탑김응민,정글지범진,미드박상호,원딜천규환,서폿신현우</v>
      </c>
    </row>
    <row r="182">
      <c r="A182" s="7">
        <v>46241.0</v>
      </c>
      <c r="B182" s="1">
        <v>1.0</v>
      </c>
      <c r="C182" s="1" t="s">
        <v>54</v>
      </c>
      <c r="D182" s="1" t="s">
        <v>16</v>
      </c>
      <c r="E182" s="1" t="s">
        <v>17</v>
      </c>
      <c r="F182" s="1" t="s">
        <v>88</v>
      </c>
      <c r="G182" s="1">
        <v>1.0</v>
      </c>
      <c r="H182" s="1">
        <v>6.0</v>
      </c>
      <c r="I182" s="1">
        <v>9.0</v>
      </c>
      <c r="J182" s="2">
        <v>16228.0</v>
      </c>
      <c r="K182" s="2">
        <v>9759.0</v>
      </c>
      <c r="N182" s="4" t="str">
        <f>IFERROR(__xludf.DUMMYFUNCTION("TEXTJOIN("","", TRUE, FILTER($E$2:$E1000 &amp; $C$2:$C1000, $A$2:$A1000=A182, $B$2:$B1000=B182, $D$2:$D1000&lt;&gt;D182))"),"탑박원준,정글이진건,미드정용운,원딜이세환,서폿김광유")</f>
        <v>탑박원준,정글이진건,미드정용운,원딜이세환,서폿김광유</v>
      </c>
    </row>
    <row r="183">
      <c r="A183" s="7">
        <v>46241.0</v>
      </c>
      <c r="B183" s="1">
        <v>1.0</v>
      </c>
      <c r="C183" s="1" t="s">
        <v>22</v>
      </c>
      <c r="D183" s="1" t="s">
        <v>16</v>
      </c>
      <c r="E183" s="1" t="s">
        <v>23</v>
      </c>
      <c r="F183" s="1" t="s">
        <v>44</v>
      </c>
      <c r="G183" s="1">
        <v>9.0</v>
      </c>
      <c r="H183" s="1">
        <v>4.0</v>
      </c>
      <c r="I183" s="1">
        <v>15.0</v>
      </c>
      <c r="J183" s="2">
        <v>27959.0</v>
      </c>
      <c r="K183" s="2">
        <v>16563.0</v>
      </c>
      <c r="N183" s="4" t="str">
        <f>IFERROR(__xludf.DUMMYFUNCTION("TEXTJOIN("","", TRUE, FILTER($E$2:$E1000 &amp; $C$2:$C1000, $A$2:$A1000=A183, $B$2:$B1000=B183, $D$2:$D1000&lt;&gt;D183))"),"탑박원준,정글이진건,미드정용운,원딜이세환,서폿김광유")</f>
        <v>탑박원준,정글이진건,미드정용운,원딜이세환,서폿김광유</v>
      </c>
    </row>
    <row r="184">
      <c r="A184" s="7">
        <v>46241.0</v>
      </c>
      <c r="B184" s="1">
        <v>1.0</v>
      </c>
      <c r="C184" s="1" t="s">
        <v>15</v>
      </c>
      <c r="D184" s="1" t="s">
        <v>16</v>
      </c>
      <c r="E184" s="1" t="s">
        <v>19</v>
      </c>
      <c r="F184" s="1" t="s">
        <v>25</v>
      </c>
      <c r="G184" s="1">
        <v>13.0</v>
      </c>
      <c r="H184" s="1">
        <v>2.0</v>
      </c>
      <c r="I184" s="1">
        <v>10.0</v>
      </c>
      <c r="J184" s="2">
        <v>41676.0</v>
      </c>
      <c r="K184" s="2">
        <v>17525.0</v>
      </c>
      <c r="N184" s="4" t="str">
        <f>IFERROR(__xludf.DUMMYFUNCTION("TEXTJOIN("","", TRUE, FILTER($E$2:$E1000 &amp; $C$2:$C1000, $A$2:$A1000=A184, $B$2:$B1000=B184, $D$2:$D1000&lt;&gt;D184))"),"탑박원준,정글이진건,미드정용운,원딜이세환,서폿김광유")</f>
        <v>탑박원준,정글이진건,미드정용운,원딜이세환,서폿김광유</v>
      </c>
    </row>
    <row r="185">
      <c r="A185" s="7">
        <v>46241.0</v>
      </c>
      <c r="B185" s="1">
        <v>1.0</v>
      </c>
      <c r="C185" s="1" t="s">
        <v>39</v>
      </c>
      <c r="D185" s="1" t="s">
        <v>16</v>
      </c>
      <c r="E185" s="1" t="s">
        <v>29</v>
      </c>
      <c r="F185" s="1" t="s">
        <v>108</v>
      </c>
      <c r="G185" s="1">
        <v>7.0</v>
      </c>
      <c r="H185" s="1">
        <v>3.0</v>
      </c>
      <c r="I185" s="1">
        <v>7.0</v>
      </c>
      <c r="J185" s="2">
        <v>43243.0</v>
      </c>
      <c r="K185" s="2">
        <v>15432.0</v>
      </c>
      <c r="N185" s="4" t="str">
        <f>IFERROR(__xludf.DUMMYFUNCTION("TEXTJOIN("","", TRUE, FILTER($E$2:$E1000 &amp; $C$2:$C1000, $A$2:$A1000=A185, $B$2:$B1000=B185, $D$2:$D1000&lt;&gt;D185))"),"탑박원준,정글이진건,미드정용운,원딜이세환,서폿김광유")</f>
        <v>탑박원준,정글이진건,미드정용운,원딜이세환,서폿김광유</v>
      </c>
    </row>
    <row r="186">
      <c r="A186" s="7">
        <v>46241.0</v>
      </c>
      <c r="B186" s="1">
        <v>1.0</v>
      </c>
      <c r="C186" s="1" t="s">
        <v>55</v>
      </c>
      <c r="D186" s="1" t="s">
        <v>16</v>
      </c>
      <c r="E186" s="1" t="s">
        <v>31</v>
      </c>
      <c r="F186" s="1" t="s">
        <v>87</v>
      </c>
      <c r="G186" s="1">
        <v>0.0</v>
      </c>
      <c r="H186" s="1">
        <v>6.0</v>
      </c>
      <c r="I186" s="1">
        <v>20.0</v>
      </c>
      <c r="J186" s="2">
        <v>7937.0</v>
      </c>
      <c r="K186" s="2">
        <v>9417.0</v>
      </c>
      <c r="N186" s="4" t="str">
        <f>IFERROR(__xludf.DUMMYFUNCTION("TEXTJOIN("","", TRUE, FILTER($E$2:$E1000 &amp; $C$2:$C1000, $A$2:$A1000=A186, $B$2:$B1000=B186, $D$2:$D1000&lt;&gt;D186))"),"탑박원준,정글이진건,미드정용운,원딜이세환,서폿김광유")</f>
        <v>탑박원준,정글이진건,미드정용운,원딜이세환,서폿김광유</v>
      </c>
    </row>
    <row r="187">
      <c r="A187" s="7">
        <v>46241.0</v>
      </c>
      <c r="B187" s="1">
        <v>1.0</v>
      </c>
      <c r="C187" s="1" t="s">
        <v>57</v>
      </c>
      <c r="D187" s="1" t="s">
        <v>34</v>
      </c>
      <c r="E187" s="1" t="s">
        <v>17</v>
      </c>
      <c r="F187" s="1" t="s">
        <v>62</v>
      </c>
      <c r="G187" s="1">
        <v>4.0</v>
      </c>
      <c r="H187" s="1">
        <v>3.0</v>
      </c>
      <c r="I187" s="1">
        <v>8.0</v>
      </c>
      <c r="J187" s="2">
        <v>22674.0</v>
      </c>
      <c r="K187" s="2">
        <v>11770.0</v>
      </c>
      <c r="N187" s="4" t="str">
        <f>IFERROR(__xludf.DUMMYFUNCTION("TEXTJOIN("","", TRUE, FILTER($E$2:$E1000 &amp; $C$2:$C1000, $A$2:$A1000=A187, $B$2:$B1000=B187, $D$2:$D1000&lt;&gt;D187))"),"탑배승진,정글지범진,미드박상호,원딜이창호,서폿김규철")</f>
        <v>탑배승진,정글지범진,미드박상호,원딜이창호,서폿김규철</v>
      </c>
    </row>
    <row r="188">
      <c r="A188" s="7">
        <v>46241.0</v>
      </c>
      <c r="B188" s="1">
        <v>1.0</v>
      </c>
      <c r="C188" s="1" t="s">
        <v>43</v>
      </c>
      <c r="D188" s="1" t="s">
        <v>34</v>
      </c>
      <c r="E188" s="1" t="s">
        <v>23</v>
      </c>
      <c r="F188" s="1" t="s">
        <v>61</v>
      </c>
      <c r="G188" s="1">
        <v>5.0</v>
      </c>
      <c r="H188" s="1">
        <v>6.0</v>
      </c>
      <c r="I188" s="1">
        <v>6.0</v>
      </c>
      <c r="J188" s="2">
        <v>27045.0</v>
      </c>
      <c r="K188" s="2">
        <v>14344.0</v>
      </c>
      <c r="N188" s="4" t="str">
        <f>IFERROR(__xludf.DUMMYFUNCTION("TEXTJOIN("","", TRUE, FILTER($E$2:$E1000 &amp; $C$2:$C1000, $A$2:$A1000=A188, $B$2:$B1000=B188, $D$2:$D1000&lt;&gt;D188))"),"탑배승진,정글지범진,미드박상호,원딜이창호,서폿김규철")</f>
        <v>탑배승진,정글지범진,미드박상호,원딜이창호,서폿김규철</v>
      </c>
    </row>
    <row r="189">
      <c r="A189" s="7">
        <v>46241.0</v>
      </c>
      <c r="B189" s="1">
        <v>1.0</v>
      </c>
      <c r="C189" s="1" t="s">
        <v>28</v>
      </c>
      <c r="D189" s="1" t="s">
        <v>34</v>
      </c>
      <c r="E189" s="1" t="s">
        <v>19</v>
      </c>
      <c r="F189" s="1" t="s">
        <v>109</v>
      </c>
      <c r="G189" s="1">
        <v>5.0</v>
      </c>
      <c r="H189" s="1">
        <v>7.0</v>
      </c>
      <c r="I189" s="1">
        <v>9.0</v>
      </c>
      <c r="J189" s="2">
        <v>33545.0</v>
      </c>
      <c r="K189" s="2">
        <v>12962.0</v>
      </c>
      <c r="N189" s="4" t="str">
        <f>IFERROR(__xludf.DUMMYFUNCTION("TEXTJOIN("","", TRUE, FILTER($E$2:$E1000 &amp; $C$2:$C1000, $A$2:$A1000=A189, $B$2:$B1000=B189, $D$2:$D1000&lt;&gt;D189))"),"탑배승진,정글지범진,미드박상호,원딜이창호,서폿김규철")</f>
        <v>탑배승진,정글지범진,미드박상호,원딜이창호,서폿김규철</v>
      </c>
    </row>
    <row r="190">
      <c r="A190" s="7">
        <v>46241.0</v>
      </c>
      <c r="B190" s="1">
        <v>1.0</v>
      </c>
      <c r="C190" s="1" t="s">
        <v>21</v>
      </c>
      <c r="D190" s="1" t="s">
        <v>34</v>
      </c>
      <c r="E190" s="1" t="s">
        <v>29</v>
      </c>
      <c r="F190" s="1" t="s">
        <v>70</v>
      </c>
      <c r="G190" s="1">
        <v>6.0</v>
      </c>
      <c r="H190" s="1">
        <v>6.0</v>
      </c>
      <c r="I190" s="1">
        <v>5.0</v>
      </c>
      <c r="J190" s="2">
        <v>26312.0</v>
      </c>
      <c r="K190" s="2">
        <v>13676.0</v>
      </c>
      <c r="N190" s="4" t="str">
        <f>IFERROR(__xludf.DUMMYFUNCTION("TEXTJOIN("","", TRUE, FILTER($E$2:$E1000 &amp; $C$2:$C1000, $A$2:$A1000=A190, $B$2:$B1000=B190, $D$2:$D1000&lt;&gt;D190))"),"탑배승진,정글지범진,미드박상호,원딜이창호,서폿김규철")</f>
        <v>탑배승진,정글지범진,미드박상호,원딜이창호,서폿김규철</v>
      </c>
    </row>
    <row r="191">
      <c r="A191" s="7">
        <v>46241.0</v>
      </c>
      <c r="B191" s="1">
        <v>1.0</v>
      </c>
      <c r="C191" s="1" t="s">
        <v>59</v>
      </c>
      <c r="D191" s="1" t="s">
        <v>34</v>
      </c>
      <c r="E191" s="1" t="s">
        <v>31</v>
      </c>
      <c r="F191" s="1" t="s">
        <v>89</v>
      </c>
      <c r="G191" s="1">
        <v>1.0</v>
      </c>
      <c r="H191" s="1">
        <v>8.0</v>
      </c>
      <c r="I191" s="1">
        <v>10.0</v>
      </c>
      <c r="J191" s="2">
        <v>4375.0</v>
      </c>
      <c r="K191" s="2">
        <v>7298.0</v>
      </c>
      <c r="N191" s="4" t="str">
        <f>IFERROR(__xludf.DUMMYFUNCTION("TEXTJOIN("","", TRUE, FILTER($E$2:$E1000 &amp; $C$2:$C1000, $A$2:$A1000=A191, $B$2:$B1000=B191, $D$2:$D1000&lt;&gt;D191))"),"탑배승진,정글지범진,미드박상호,원딜이창호,서폿김규철")</f>
        <v>탑배승진,정글지범진,미드박상호,원딜이창호,서폿김규철</v>
      </c>
    </row>
    <row r="192">
      <c r="A192" s="7">
        <v>46241.0</v>
      </c>
      <c r="B192" s="1">
        <v>2.0</v>
      </c>
      <c r="C192" s="1" t="s">
        <v>54</v>
      </c>
      <c r="D192" s="1" t="s">
        <v>34</v>
      </c>
      <c r="E192" s="1" t="s">
        <v>17</v>
      </c>
      <c r="F192" s="1" t="s">
        <v>110</v>
      </c>
      <c r="G192" s="1">
        <v>2.0</v>
      </c>
      <c r="H192" s="1">
        <v>8.0</v>
      </c>
      <c r="I192" s="1">
        <v>3.0</v>
      </c>
      <c r="J192" s="2">
        <v>11418.0</v>
      </c>
      <c r="K192" s="2">
        <v>8703.0</v>
      </c>
      <c r="N192" s="4" t="str">
        <f>IFERROR(__xludf.DUMMYFUNCTION("TEXTJOIN("","", TRUE, FILTER($E$2:$E1000 &amp; $C$2:$C1000, $A$2:$A1000=A192, $B$2:$B1000=B192, $D$2:$D1000&lt;&gt;D192))"),"탑박원준,정글이진건,미드정용운,원딜이세환,서폿김광유")</f>
        <v>탑박원준,정글이진건,미드정용운,원딜이세환,서폿김광유</v>
      </c>
    </row>
    <row r="193">
      <c r="A193" s="7">
        <v>46241.0</v>
      </c>
      <c r="B193" s="1">
        <v>2.0</v>
      </c>
      <c r="C193" s="1" t="s">
        <v>22</v>
      </c>
      <c r="D193" s="1" t="s">
        <v>34</v>
      </c>
      <c r="E193" s="1" t="s">
        <v>23</v>
      </c>
      <c r="F193" s="1" t="s">
        <v>88</v>
      </c>
      <c r="G193" s="1">
        <v>1.0</v>
      </c>
      <c r="H193" s="1">
        <v>6.0</v>
      </c>
      <c r="I193" s="1">
        <v>7.0</v>
      </c>
      <c r="J193" s="2">
        <v>11457.0</v>
      </c>
      <c r="K193" s="2">
        <v>9308.0</v>
      </c>
      <c r="N193" s="4" t="str">
        <f>IFERROR(__xludf.DUMMYFUNCTION("TEXTJOIN("","", TRUE, FILTER($E$2:$E1000 &amp; $C$2:$C1000, $A$2:$A1000=A193, $B$2:$B1000=B193, $D$2:$D1000&lt;&gt;D193))"),"탑박원준,정글이진건,미드정용운,원딜이세환,서폿김광유")</f>
        <v>탑박원준,정글이진건,미드정용운,원딜이세환,서폿김광유</v>
      </c>
    </row>
    <row r="194">
      <c r="A194" s="7">
        <v>46241.0</v>
      </c>
      <c r="B194" s="1">
        <v>2.0</v>
      </c>
      <c r="C194" s="1" t="s">
        <v>15</v>
      </c>
      <c r="D194" s="1" t="s">
        <v>34</v>
      </c>
      <c r="E194" s="1" t="s">
        <v>19</v>
      </c>
      <c r="F194" s="1" t="s">
        <v>25</v>
      </c>
      <c r="G194" s="1">
        <v>2.0</v>
      </c>
      <c r="H194" s="1">
        <v>7.0</v>
      </c>
      <c r="I194" s="1">
        <v>1.0</v>
      </c>
      <c r="J194" s="2">
        <v>19550.0</v>
      </c>
      <c r="K194" s="2">
        <v>9517.0</v>
      </c>
      <c r="N194" s="4" t="str">
        <f>IFERROR(__xludf.DUMMYFUNCTION("TEXTJOIN("","", TRUE, FILTER($E$2:$E1000 &amp; $C$2:$C1000, $A$2:$A1000=A194, $B$2:$B1000=B194, $D$2:$D1000&lt;&gt;D194))"),"탑박원준,정글이진건,미드정용운,원딜이세환,서폿김광유")</f>
        <v>탑박원준,정글이진건,미드정용운,원딜이세환,서폿김광유</v>
      </c>
    </row>
    <row r="195">
      <c r="A195" s="7">
        <v>46241.0</v>
      </c>
      <c r="B195" s="1">
        <v>2.0</v>
      </c>
      <c r="C195" s="1" t="s">
        <v>39</v>
      </c>
      <c r="D195" s="1" t="s">
        <v>34</v>
      </c>
      <c r="E195" s="1" t="s">
        <v>29</v>
      </c>
      <c r="F195" s="1" t="s">
        <v>91</v>
      </c>
      <c r="G195" s="1">
        <v>9.0</v>
      </c>
      <c r="H195" s="1">
        <v>4.0</v>
      </c>
      <c r="I195" s="1">
        <v>1.0</v>
      </c>
      <c r="J195" s="2">
        <v>21576.0</v>
      </c>
      <c r="K195" s="2">
        <v>12404.0</v>
      </c>
      <c r="N195" s="4" t="str">
        <f>IFERROR(__xludf.DUMMYFUNCTION("TEXTJOIN("","", TRUE, FILTER($E$2:$E1000 &amp; $C$2:$C1000, $A$2:$A1000=A195, $B$2:$B1000=B195, $D$2:$D1000&lt;&gt;D195))"),"탑박원준,정글이진건,미드정용운,원딜이세환,서폿김광유")</f>
        <v>탑박원준,정글이진건,미드정용운,원딜이세환,서폿김광유</v>
      </c>
    </row>
    <row r="196">
      <c r="A196" s="7">
        <v>46241.0</v>
      </c>
      <c r="B196" s="1">
        <v>2.0</v>
      </c>
      <c r="C196" s="1" t="s">
        <v>55</v>
      </c>
      <c r="D196" s="1" t="s">
        <v>34</v>
      </c>
      <c r="E196" s="1" t="s">
        <v>31</v>
      </c>
      <c r="F196" s="1" t="s">
        <v>71</v>
      </c>
      <c r="G196" s="1">
        <v>0.0</v>
      </c>
      <c r="H196" s="1">
        <v>8.0</v>
      </c>
      <c r="I196" s="1">
        <v>12.0</v>
      </c>
      <c r="J196" s="2">
        <v>7792.0</v>
      </c>
      <c r="K196" s="2">
        <v>6920.0</v>
      </c>
      <c r="N196" s="4" t="str">
        <f>IFERROR(__xludf.DUMMYFUNCTION("TEXTJOIN("","", TRUE, FILTER($E$2:$E1000 &amp; $C$2:$C1000, $A$2:$A1000=A196, $B$2:$B1000=B196, $D$2:$D1000&lt;&gt;D196))"),"탑박원준,정글이진건,미드정용운,원딜이세환,서폿김광유")</f>
        <v>탑박원준,정글이진건,미드정용운,원딜이세환,서폿김광유</v>
      </c>
    </row>
    <row r="197">
      <c r="A197" s="7">
        <v>46241.0</v>
      </c>
      <c r="B197" s="1">
        <v>2.0</v>
      </c>
      <c r="C197" s="1" t="s">
        <v>57</v>
      </c>
      <c r="D197" s="1" t="s">
        <v>16</v>
      </c>
      <c r="E197" s="1" t="s">
        <v>17</v>
      </c>
      <c r="F197" s="1" t="s">
        <v>111</v>
      </c>
      <c r="G197" s="1">
        <v>9.0</v>
      </c>
      <c r="H197" s="1">
        <v>0.0</v>
      </c>
      <c r="I197" s="1">
        <v>8.0</v>
      </c>
      <c r="J197" s="2">
        <v>24815.0</v>
      </c>
      <c r="K197" s="2">
        <v>12997.0</v>
      </c>
      <c r="N197" s="4" t="str">
        <f>IFERROR(__xludf.DUMMYFUNCTION("TEXTJOIN("","", TRUE, FILTER($E$2:$E1000 &amp; $C$2:$C1000, $A$2:$A1000=A197, $B$2:$B1000=B197, $D$2:$D1000&lt;&gt;D197))"),"탑배승진,정글지범진,미드박상호,원딜이창호,서폿김규철")</f>
        <v>탑배승진,정글지범진,미드박상호,원딜이창호,서폿김규철</v>
      </c>
    </row>
    <row r="198">
      <c r="A198" s="7">
        <v>46241.0</v>
      </c>
      <c r="B198" s="1">
        <v>2.0</v>
      </c>
      <c r="C198" s="1" t="s">
        <v>43</v>
      </c>
      <c r="D198" s="1" t="s">
        <v>16</v>
      </c>
      <c r="E198" s="1" t="s">
        <v>23</v>
      </c>
      <c r="F198" s="1" t="s">
        <v>24</v>
      </c>
      <c r="G198" s="1">
        <v>7.0</v>
      </c>
      <c r="H198" s="1">
        <v>3.0</v>
      </c>
      <c r="I198" s="1">
        <v>16.0</v>
      </c>
      <c r="J198" s="2">
        <v>21757.0</v>
      </c>
      <c r="K198" s="2">
        <v>13273.0</v>
      </c>
      <c r="N198" s="4" t="str">
        <f>IFERROR(__xludf.DUMMYFUNCTION("TEXTJOIN("","", TRUE, FILTER($E$2:$E1000 &amp; $C$2:$C1000, $A$2:$A1000=A198, $B$2:$B1000=B198, $D$2:$D1000&lt;&gt;D198))"),"탑배승진,정글지범진,미드박상호,원딜이창호,서폿김규철")</f>
        <v>탑배승진,정글지범진,미드박상호,원딜이창호,서폿김규철</v>
      </c>
    </row>
    <row r="199">
      <c r="A199" s="7">
        <v>46241.0</v>
      </c>
      <c r="B199" s="1">
        <v>2.0</v>
      </c>
      <c r="C199" s="1" t="s">
        <v>28</v>
      </c>
      <c r="D199" s="1" t="s">
        <v>16</v>
      </c>
      <c r="E199" s="1" t="s">
        <v>19</v>
      </c>
      <c r="F199" s="1" t="s">
        <v>112</v>
      </c>
      <c r="G199" s="1">
        <v>13.0</v>
      </c>
      <c r="H199" s="1">
        <v>0.0</v>
      </c>
      <c r="I199" s="1">
        <v>11.0</v>
      </c>
      <c r="J199" s="2">
        <v>36044.0</v>
      </c>
      <c r="K199" s="2">
        <v>15296.0</v>
      </c>
      <c r="N199" s="4" t="str">
        <f>IFERROR(__xludf.DUMMYFUNCTION("TEXTJOIN("","", TRUE, FILTER($E$2:$E1000 &amp; $C$2:$C1000, $A$2:$A1000=A199, $B$2:$B1000=B199, $D$2:$D1000&lt;&gt;D199))"),"탑배승진,정글지범진,미드박상호,원딜이창호,서폿김규철")</f>
        <v>탑배승진,정글지범진,미드박상호,원딜이창호,서폿김규철</v>
      </c>
    </row>
    <row r="200">
      <c r="A200" s="7">
        <v>46241.0</v>
      </c>
      <c r="B200" s="1">
        <v>2.0</v>
      </c>
      <c r="C200" s="1" t="s">
        <v>21</v>
      </c>
      <c r="D200" s="1" t="s">
        <v>16</v>
      </c>
      <c r="E200" s="1" t="s">
        <v>29</v>
      </c>
      <c r="F200" s="1" t="s">
        <v>113</v>
      </c>
      <c r="G200" s="1">
        <v>3.0</v>
      </c>
      <c r="H200" s="1">
        <v>5.0</v>
      </c>
      <c r="I200" s="1">
        <v>11.0</v>
      </c>
      <c r="J200" s="2">
        <v>16484.0</v>
      </c>
      <c r="K200" s="2">
        <v>12780.0</v>
      </c>
      <c r="N200" s="4" t="str">
        <f>IFERROR(__xludf.DUMMYFUNCTION("TEXTJOIN("","", TRUE, FILTER($E$2:$E1000 &amp; $C$2:$C1000, $A$2:$A1000=A200, $B$2:$B1000=B200, $D$2:$D1000&lt;&gt;D200))"),"탑배승진,정글지범진,미드박상호,원딜이창호,서폿김규철")</f>
        <v>탑배승진,정글지범진,미드박상호,원딜이창호,서폿김규철</v>
      </c>
    </row>
    <row r="201">
      <c r="A201" s="7">
        <v>46241.0</v>
      </c>
      <c r="B201" s="1">
        <v>2.0</v>
      </c>
      <c r="C201" s="1" t="s">
        <v>59</v>
      </c>
      <c r="D201" s="1" t="s">
        <v>16</v>
      </c>
      <c r="E201" s="1" t="s">
        <v>31</v>
      </c>
      <c r="F201" s="1" t="s">
        <v>89</v>
      </c>
      <c r="G201" s="1">
        <v>1.0</v>
      </c>
      <c r="H201" s="1">
        <v>6.0</v>
      </c>
      <c r="I201" s="1">
        <v>6.0</v>
      </c>
      <c r="J201" s="2">
        <v>3231.0</v>
      </c>
      <c r="K201" s="2">
        <v>6327.0</v>
      </c>
      <c r="N201" s="4" t="str">
        <f>IFERROR(__xludf.DUMMYFUNCTION("TEXTJOIN("","", TRUE, FILTER($E$2:$E1000 &amp; $C$2:$C1000, $A$2:$A1000=A201, $B$2:$B1000=B201, $D$2:$D1000&lt;&gt;D201))"),"탑배승진,정글지범진,미드박상호,원딜이창호,서폿김규철")</f>
        <v>탑배승진,정글지범진,미드박상호,원딜이창호,서폿김규철</v>
      </c>
    </row>
    <row r="202">
      <c r="A202" s="7">
        <v>46241.0</v>
      </c>
      <c r="B202" s="1">
        <v>3.0</v>
      </c>
      <c r="C202" s="1" t="s">
        <v>54</v>
      </c>
      <c r="D202" s="1" t="s">
        <v>16</v>
      </c>
      <c r="E202" s="1" t="s">
        <v>17</v>
      </c>
      <c r="F202" s="1" t="s">
        <v>88</v>
      </c>
      <c r="G202" s="1">
        <v>10.0</v>
      </c>
      <c r="H202" s="1">
        <v>8.0</v>
      </c>
      <c r="I202" s="1">
        <v>16.0</v>
      </c>
      <c r="J202" s="2">
        <v>29594.0</v>
      </c>
      <c r="K202" s="2">
        <v>16582.0</v>
      </c>
      <c r="N202" s="4" t="str">
        <f>IFERROR(__xludf.DUMMYFUNCTION("TEXTJOIN("","", TRUE, FILTER($E$2:$E1000 &amp; $C$2:$C1000, $A$2:$A1000=A202, $B$2:$B1000=B202, $D$2:$D1000&lt;&gt;D202))"),"탑박원준,정글이진건,미드정용운,원딜이세환,서폿김광유")</f>
        <v>탑박원준,정글이진건,미드정용운,원딜이세환,서폿김광유</v>
      </c>
    </row>
    <row r="203">
      <c r="A203" s="7">
        <v>46241.0</v>
      </c>
      <c r="B203" s="1">
        <v>3.0</v>
      </c>
      <c r="C203" s="1" t="s">
        <v>22</v>
      </c>
      <c r="D203" s="1" t="s">
        <v>16</v>
      </c>
      <c r="E203" s="1" t="s">
        <v>23</v>
      </c>
      <c r="F203" s="1" t="s">
        <v>114</v>
      </c>
      <c r="G203" s="1">
        <v>13.0</v>
      </c>
      <c r="H203" s="1">
        <v>9.0</v>
      </c>
      <c r="I203" s="1">
        <v>21.0</v>
      </c>
      <c r="J203" s="2">
        <v>42987.0</v>
      </c>
      <c r="K203" s="2">
        <v>19705.0</v>
      </c>
      <c r="N203" s="4" t="str">
        <f>IFERROR(__xludf.DUMMYFUNCTION("TEXTJOIN("","", TRUE, FILTER($E$2:$E1000 &amp; $C$2:$C1000, $A$2:$A1000=A203, $B$2:$B1000=B203, $D$2:$D1000&lt;&gt;D203))"),"탑박원준,정글이진건,미드정용운,원딜이세환,서폿김광유")</f>
        <v>탑박원준,정글이진건,미드정용운,원딜이세환,서폿김광유</v>
      </c>
    </row>
    <row r="204">
      <c r="A204" s="7">
        <v>46241.0</v>
      </c>
      <c r="B204" s="1">
        <v>3.0</v>
      </c>
      <c r="C204" s="1" t="s">
        <v>15</v>
      </c>
      <c r="D204" s="1" t="s">
        <v>16</v>
      </c>
      <c r="E204" s="1" t="s">
        <v>19</v>
      </c>
      <c r="F204" s="1" t="s">
        <v>20</v>
      </c>
      <c r="G204" s="1">
        <v>7.0</v>
      </c>
      <c r="H204" s="1">
        <v>13.0</v>
      </c>
      <c r="I204" s="1">
        <v>20.0</v>
      </c>
      <c r="J204" s="2">
        <v>49028.0</v>
      </c>
      <c r="K204" s="2">
        <v>17993.0</v>
      </c>
      <c r="N204" s="4" t="str">
        <f>IFERROR(__xludf.DUMMYFUNCTION("TEXTJOIN("","", TRUE, FILTER($E$2:$E1000 &amp; $C$2:$C1000, $A$2:$A1000=A204, $B$2:$B1000=B204, $D$2:$D1000&lt;&gt;D204))"),"탑박원준,정글이진건,미드정용운,원딜이세환,서폿김광유")</f>
        <v>탑박원준,정글이진건,미드정용운,원딜이세환,서폿김광유</v>
      </c>
    </row>
    <row r="205">
      <c r="A205" s="7">
        <v>46241.0</v>
      </c>
      <c r="B205" s="1">
        <v>3.0</v>
      </c>
      <c r="C205" s="1" t="s">
        <v>39</v>
      </c>
      <c r="D205" s="1" t="s">
        <v>16</v>
      </c>
      <c r="E205" s="1" t="s">
        <v>29</v>
      </c>
      <c r="F205" s="1" t="s">
        <v>56</v>
      </c>
      <c r="G205" s="1">
        <v>14.0</v>
      </c>
      <c r="H205" s="1">
        <v>10.0</v>
      </c>
      <c r="I205" s="1">
        <v>16.0</v>
      </c>
      <c r="J205" s="2">
        <v>50215.0</v>
      </c>
      <c r="K205" s="2">
        <v>23800.0</v>
      </c>
      <c r="N205" s="4" t="str">
        <f>IFERROR(__xludf.DUMMYFUNCTION("TEXTJOIN("","", TRUE, FILTER($E$2:$E1000 &amp; $C$2:$C1000, $A$2:$A1000=A205, $B$2:$B1000=B205, $D$2:$D1000&lt;&gt;D205))"),"탑박원준,정글이진건,미드정용운,원딜이세환,서폿김광유")</f>
        <v>탑박원준,정글이진건,미드정용운,원딜이세환,서폿김광유</v>
      </c>
    </row>
    <row r="206">
      <c r="A206" s="7">
        <v>46241.0</v>
      </c>
      <c r="B206" s="1">
        <v>3.0</v>
      </c>
      <c r="C206" s="1" t="s">
        <v>55</v>
      </c>
      <c r="D206" s="1" t="s">
        <v>16</v>
      </c>
      <c r="E206" s="1" t="s">
        <v>31</v>
      </c>
      <c r="F206" s="1" t="s">
        <v>82</v>
      </c>
      <c r="G206" s="1">
        <v>2.0</v>
      </c>
      <c r="H206" s="1">
        <v>10.0</v>
      </c>
      <c r="I206" s="1">
        <v>30.0</v>
      </c>
      <c r="J206" s="2">
        <v>12284.0</v>
      </c>
      <c r="K206" s="2">
        <v>12346.0</v>
      </c>
      <c r="N206" s="4" t="str">
        <f>IFERROR(__xludf.DUMMYFUNCTION("TEXTJOIN("","", TRUE, FILTER($E$2:$E1000 &amp; $C$2:$C1000, $A$2:$A1000=A206, $B$2:$B1000=B206, $D$2:$D1000&lt;&gt;D206))"),"탑박원준,정글이진건,미드정용운,원딜이세환,서폿김광유")</f>
        <v>탑박원준,정글이진건,미드정용운,원딜이세환,서폿김광유</v>
      </c>
    </row>
    <row r="207">
      <c r="A207" s="7">
        <v>46241.0</v>
      </c>
      <c r="B207" s="1">
        <v>3.0</v>
      </c>
      <c r="C207" s="1" t="s">
        <v>57</v>
      </c>
      <c r="D207" s="1" t="s">
        <v>34</v>
      </c>
      <c r="E207" s="1" t="s">
        <v>17</v>
      </c>
      <c r="F207" s="1" t="s">
        <v>100</v>
      </c>
      <c r="G207" s="1">
        <v>9.0</v>
      </c>
      <c r="H207" s="1">
        <v>11.0</v>
      </c>
      <c r="I207" s="1">
        <v>12.0</v>
      </c>
      <c r="J207" s="2">
        <v>44963.0</v>
      </c>
      <c r="K207" s="2">
        <v>14779.0</v>
      </c>
      <c r="N207" s="4" t="str">
        <f>IFERROR(__xludf.DUMMYFUNCTION("TEXTJOIN("","", TRUE, FILTER($E$2:$E1000 &amp; $C$2:$C1000, $A$2:$A1000=A207, $B$2:$B1000=B207, $D$2:$D1000&lt;&gt;D207))"),"탑배승진,정글지범진,미드박상호,원딜이창호,서폿김규철")</f>
        <v>탑배승진,정글지범진,미드박상호,원딜이창호,서폿김규철</v>
      </c>
    </row>
    <row r="208">
      <c r="A208" s="7">
        <v>46241.0</v>
      </c>
      <c r="B208" s="1">
        <v>3.0</v>
      </c>
      <c r="C208" s="1" t="s">
        <v>43</v>
      </c>
      <c r="D208" s="1" t="s">
        <v>34</v>
      </c>
      <c r="E208" s="1" t="s">
        <v>23</v>
      </c>
      <c r="F208" s="1" t="s">
        <v>115</v>
      </c>
      <c r="G208" s="1">
        <v>16.0</v>
      </c>
      <c r="H208" s="1">
        <v>8.0</v>
      </c>
      <c r="I208" s="1">
        <v>16.0</v>
      </c>
      <c r="J208" s="2">
        <v>33733.0</v>
      </c>
      <c r="K208" s="2">
        <v>20543.0</v>
      </c>
      <c r="N208" s="4" t="str">
        <f>IFERROR(__xludf.DUMMYFUNCTION("TEXTJOIN("","", TRUE, FILTER($E$2:$E1000 &amp; $C$2:$C1000, $A$2:$A1000=A208, $B$2:$B1000=B208, $D$2:$D1000&lt;&gt;D208))"),"탑배승진,정글지범진,미드박상호,원딜이창호,서폿김규철")</f>
        <v>탑배승진,정글지범진,미드박상호,원딜이창호,서폿김규철</v>
      </c>
    </row>
    <row r="209">
      <c r="A209" s="7">
        <v>46241.0</v>
      </c>
      <c r="B209" s="1">
        <v>3.0</v>
      </c>
      <c r="C209" s="1" t="s">
        <v>28</v>
      </c>
      <c r="D209" s="1" t="s">
        <v>34</v>
      </c>
      <c r="E209" s="1" t="s">
        <v>19</v>
      </c>
      <c r="F209" s="1" t="s">
        <v>74</v>
      </c>
      <c r="G209" s="1">
        <v>9.0</v>
      </c>
      <c r="H209" s="1">
        <v>10.0</v>
      </c>
      <c r="I209" s="1">
        <v>17.0</v>
      </c>
      <c r="J209" s="2">
        <v>59873.0</v>
      </c>
      <c r="K209" s="2">
        <v>17984.0</v>
      </c>
      <c r="N209" s="4" t="str">
        <f>IFERROR(__xludf.DUMMYFUNCTION("TEXTJOIN("","", TRUE, FILTER($E$2:$E1000 &amp; $C$2:$C1000, $A$2:$A1000=A209, $B$2:$B1000=B209, $D$2:$D1000&lt;&gt;D209))"),"탑배승진,정글지범진,미드박상호,원딜이창호,서폿김규철")</f>
        <v>탑배승진,정글지범진,미드박상호,원딜이창호,서폿김규철</v>
      </c>
    </row>
    <row r="210">
      <c r="A210" s="7">
        <v>46241.0</v>
      </c>
      <c r="B210" s="1">
        <v>3.0</v>
      </c>
      <c r="C210" s="1" t="s">
        <v>21</v>
      </c>
      <c r="D210" s="1" t="s">
        <v>34</v>
      </c>
      <c r="E210" s="1" t="s">
        <v>29</v>
      </c>
      <c r="F210" s="1" t="s">
        <v>116</v>
      </c>
      <c r="G210" s="1">
        <v>16.0</v>
      </c>
      <c r="H210" s="1">
        <v>4.0</v>
      </c>
      <c r="I210" s="1">
        <v>18.0</v>
      </c>
      <c r="J210" s="2">
        <v>84922.0</v>
      </c>
      <c r="K210" s="2">
        <v>24443.0</v>
      </c>
      <c r="N210" s="4" t="str">
        <f>IFERROR(__xludf.DUMMYFUNCTION("TEXTJOIN("","", TRUE, FILTER($E$2:$E1000 &amp; $C$2:$C1000, $A$2:$A1000=A210, $B$2:$B1000=B210, $D$2:$D1000&lt;&gt;D210))"),"탑배승진,정글지범진,미드박상호,원딜이창호,서폿김규철")</f>
        <v>탑배승진,정글지범진,미드박상호,원딜이창호,서폿김규철</v>
      </c>
    </row>
    <row r="211">
      <c r="A211" s="7">
        <v>46241.0</v>
      </c>
      <c r="B211" s="1">
        <v>3.0</v>
      </c>
      <c r="C211" s="1" t="s">
        <v>59</v>
      </c>
      <c r="D211" s="1" t="s">
        <v>34</v>
      </c>
      <c r="E211" s="1" t="s">
        <v>31</v>
      </c>
      <c r="F211" s="1" t="s">
        <v>89</v>
      </c>
      <c r="G211" s="1">
        <v>0.0</v>
      </c>
      <c r="H211" s="1">
        <v>13.0</v>
      </c>
      <c r="I211" s="1">
        <v>20.0</v>
      </c>
      <c r="J211" s="2">
        <v>10196.0</v>
      </c>
      <c r="K211" s="2">
        <v>9882.0</v>
      </c>
      <c r="N211" s="4" t="str">
        <f>IFERROR(__xludf.DUMMYFUNCTION("TEXTJOIN("","", TRUE, FILTER($E$2:$E1000 &amp; $C$2:$C1000, $A$2:$A1000=A211, $B$2:$B1000=B211, $D$2:$D1000&lt;&gt;D211))"),"탑배승진,정글지범진,미드박상호,원딜이창호,서폿김규철")</f>
        <v>탑배승진,정글지범진,미드박상호,원딜이창호,서폿김규철</v>
      </c>
    </row>
    <row r="212">
      <c r="A212" s="7">
        <v>46276.0</v>
      </c>
      <c r="B212" s="1">
        <v>1.0</v>
      </c>
      <c r="C212" s="1" t="s">
        <v>43</v>
      </c>
      <c r="D212" s="1" t="s">
        <v>16</v>
      </c>
      <c r="E212" s="1" t="s">
        <v>17</v>
      </c>
      <c r="F212" s="1" t="s">
        <v>24</v>
      </c>
      <c r="G212" s="1">
        <v>2.0</v>
      </c>
      <c r="H212" s="1">
        <v>2.0</v>
      </c>
      <c r="I212" s="1">
        <v>15.0</v>
      </c>
      <c r="J212" s="2">
        <v>28658.0</v>
      </c>
      <c r="K212" s="2">
        <v>11363.0</v>
      </c>
      <c r="N212" s="4" t="str">
        <f>IFERROR(__xludf.DUMMYFUNCTION("TEXTJOIN("","", TRUE, FILTER($E$2:$E1000 &amp; $C$2:$C1000, $A$2:$A1000=A212, $B$2:$B1000=B212, $D$2:$D1000&lt;&gt;D212))"),"탑박원준,정글심재현,미드정용운,원딜천규환,서폿이세환")</f>
        <v>탑박원준,정글심재현,미드정용운,원딜천규환,서폿이세환</v>
      </c>
    </row>
    <row r="213">
      <c r="A213" s="7">
        <v>46276.0</v>
      </c>
      <c r="B213" s="1">
        <v>1.0</v>
      </c>
      <c r="C213" s="1" t="s">
        <v>45</v>
      </c>
      <c r="D213" s="1" t="s">
        <v>16</v>
      </c>
      <c r="E213" s="1" t="s">
        <v>23</v>
      </c>
      <c r="F213" s="1" t="s">
        <v>117</v>
      </c>
      <c r="G213" s="1">
        <v>12.0</v>
      </c>
      <c r="H213" s="1">
        <v>6.0</v>
      </c>
      <c r="I213" s="1">
        <v>13.0</v>
      </c>
      <c r="J213" s="2">
        <v>24906.0</v>
      </c>
      <c r="K213" s="6"/>
      <c r="N213" s="4" t="str">
        <f>IFERROR(__xludf.DUMMYFUNCTION("TEXTJOIN("","", TRUE, FILTER($E$2:$E1000 &amp; $C$2:$C1000, $A$2:$A1000=A213, $B$2:$B1000=B213, $D$2:$D1000&lt;&gt;D213))"),"탑박원준,정글심재현,미드정용운,원딜천규환,서폿이세환")</f>
        <v>탑박원준,정글심재현,미드정용운,원딜천규환,서폿이세환</v>
      </c>
    </row>
    <row r="214">
      <c r="A214" s="7">
        <v>46276.0</v>
      </c>
      <c r="B214" s="1">
        <v>1.0</v>
      </c>
      <c r="C214" s="1" t="s">
        <v>15</v>
      </c>
      <c r="D214" s="1" t="s">
        <v>16</v>
      </c>
      <c r="E214" s="1" t="s">
        <v>19</v>
      </c>
      <c r="F214" s="1" t="s">
        <v>18</v>
      </c>
      <c r="G214" s="1">
        <v>12.0</v>
      </c>
      <c r="H214" s="1">
        <v>5.0</v>
      </c>
      <c r="I214" s="1">
        <v>10.0</v>
      </c>
      <c r="J214" s="2">
        <v>40699.0</v>
      </c>
      <c r="K214" s="2">
        <v>14984.0</v>
      </c>
      <c r="N214" s="4" t="str">
        <f>IFERROR(__xludf.DUMMYFUNCTION("TEXTJOIN("","", TRUE, FILTER($E$2:$E1000 &amp; $C$2:$C1000, $A$2:$A1000=A214, $B$2:$B1000=B214, $D$2:$D1000&lt;&gt;D214))"),"탑박원준,정글심재현,미드정용운,원딜천규환,서폿이세환")</f>
        <v>탑박원준,정글심재현,미드정용운,원딜천규환,서폿이세환</v>
      </c>
    </row>
    <row r="215">
      <c r="A215" s="7">
        <v>46276.0</v>
      </c>
      <c r="B215" s="1">
        <v>1.0</v>
      </c>
      <c r="C215" s="1" t="s">
        <v>39</v>
      </c>
      <c r="D215" s="1" t="s">
        <v>16</v>
      </c>
      <c r="E215" s="1" t="s">
        <v>29</v>
      </c>
      <c r="F215" s="1" t="s">
        <v>56</v>
      </c>
      <c r="G215" s="1">
        <v>12.0</v>
      </c>
      <c r="H215" s="1">
        <v>4.0</v>
      </c>
      <c r="I215" s="1">
        <v>14.0</v>
      </c>
      <c r="J215" s="2">
        <v>38179.0</v>
      </c>
      <c r="K215" s="2">
        <v>17319.0</v>
      </c>
      <c r="N215" s="4" t="str">
        <f>IFERROR(__xludf.DUMMYFUNCTION("TEXTJOIN("","", TRUE, FILTER($E$2:$E1000 &amp; $C$2:$C1000, $A$2:$A1000=A215, $B$2:$B1000=B215, $D$2:$D1000&lt;&gt;D215))"),"탑박원준,정글심재현,미드정용운,원딜천규환,서폿이세환")</f>
        <v>탑박원준,정글심재현,미드정용운,원딜천규환,서폿이세환</v>
      </c>
    </row>
    <row r="216">
      <c r="A216" s="7">
        <v>46276.0</v>
      </c>
      <c r="B216" s="1">
        <v>1.0</v>
      </c>
      <c r="C216" s="1" t="s">
        <v>41</v>
      </c>
      <c r="D216" s="1" t="s">
        <v>16</v>
      </c>
      <c r="E216" s="1" t="s">
        <v>31</v>
      </c>
      <c r="F216" s="1" t="s">
        <v>58</v>
      </c>
      <c r="G216" s="1">
        <v>1.0</v>
      </c>
      <c r="H216" s="1">
        <v>7.0</v>
      </c>
      <c r="I216" s="1">
        <v>27.0</v>
      </c>
      <c r="J216" s="2">
        <v>13652.0</v>
      </c>
      <c r="K216" s="2">
        <v>9515.0</v>
      </c>
      <c r="N216" s="4" t="str">
        <f>IFERROR(__xludf.DUMMYFUNCTION("TEXTJOIN("","", TRUE, FILTER($E$2:$E1000 &amp; $C$2:$C1000, $A$2:$A1000=A216, $B$2:$B1000=B216, $D$2:$D1000&lt;&gt;D216))"),"탑박원준,정글심재현,미드정용운,원딜천규환,서폿이세환")</f>
        <v>탑박원준,정글심재현,미드정용운,원딜천규환,서폿이세환</v>
      </c>
    </row>
    <row r="217">
      <c r="A217" s="7">
        <v>46276.0</v>
      </c>
      <c r="B217" s="1">
        <v>1.0</v>
      </c>
      <c r="C217" s="1" t="s">
        <v>57</v>
      </c>
      <c r="D217" s="1" t="s">
        <v>34</v>
      </c>
      <c r="E217" s="1" t="s">
        <v>17</v>
      </c>
      <c r="F217" s="1" t="s">
        <v>118</v>
      </c>
      <c r="G217" s="1">
        <v>0.0</v>
      </c>
      <c r="H217" s="1">
        <v>7.0</v>
      </c>
      <c r="I217" s="1">
        <v>10.0</v>
      </c>
      <c r="J217" s="2">
        <v>16450.0</v>
      </c>
      <c r="K217" s="2">
        <v>10546.0</v>
      </c>
      <c r="N217" s="4" t="str">
        <f>IFERROR(__xludf.DUMMYFUNCTION("TEXTJOIN("","", TRUE, FILTER($E$2:$E1000 &amp; $C$2:$C1000, $A$2:$A1000=A217, $B$2:$B1000=B217, $D$2:$D1000&lt;&gt;D217))"),"탑이진건,정글이석구,미드박상호,원딜이창호,서폿김현수")</f>
        <v>탑이진건,정글이석구,미드박상호,원딜이창호,서폿김현수</v>
      </c>
    </row>
    <row r="218">
      <c r="A218" s="7">
        <v>46276.0</v>
      </c>
      <c r="B218" s="1">
        <v>1.0</v>
      </c>
      <c r="C218" s="1" t="s">
        <v>36</v>
      </c>
      <c r="D218" s="1" t="s">
        <v>34</v>
      </c>
      <c r="E218" s="1" t="s">
        <v>23</v>
      </c>
      <c r="F218" s="1" t="s">
        <v>68</v>
      </c>
      <c r="G218" s="1">
        <v>11.0</v>
      </c>
      <c r="H218" s="1">
        <v>8.0</v>
      </c>
      <c r="I218" s="1">
        <v>10.0</v>
      </c>
      <c r="J218" s="2">
        <v>26628.0</v>
      </c>
      <c r="K218" s="2">
        <v>14886.0</v>
      </c>
      <c r="N218" s="4" t="str">
        <f>IFERROR(__xludf.DUMMYFUNCTION("TEXTJOIN("","", TRUE, FILTER($E$2:$E1000 &amp; $C$2:$C1000, $A$2:$A1000=A218, $B$2:$B1000=B218, $D$2:$D1000&lt;&gt;D218))"),"탑이진건,정글이석구,미드박상호,원딜이창호,서폿김현수")</f>
        <v>탑이진건,정글이석구,미드박상호,원딜이창호,서폿김현수</v>
      </c>
    </row>
    <row r="219">
      <c r="A219" s="7">
        <v>46276.0</v>
      </c>
      <c r="B219" s="1">
        <v>1.0</v>
      </c>
      <c r="C219" s="1" t="s">
        <v>28</v>
      </c>
      <c r="D219" s="1" t="s">
        <v>34</v>
      </c>
      <c r="E219" s="1" t="s">
        <v>19</v>
      </c>
      <c r="F219" s="1" t="s">
        <v>37</v>
      </c>
      <c r="G219" s="1">
        <v>4.0</v>
      </c>
      <c r="H219" s="1">
        <v>7.0</v>
      </c>
      <c r="I219" s="1">
        <v>9.0</v>
      </c>
      <c r="J219" s="2">
        <v>15802.0</v>
      </c>
      <c r="K219" s="2">
        <v>10908.0</v>
      </c>
      <c r="N219" s="4" t="str">
        <f>IFERROR(__xludf.DUMMYFUNCTION("TEXTJOIN("","", TRUE, FILTER($E$2:$E1000 &amp; $C$2:$C1000, $A$2:$A1000=A219, $B$2:$B1000=B219, $D$2:$D1000&lt;&gt;D219))"),"탑이진건,정글이석구,미드박상호,원딜이창호,서폿김현수")</f>
        <v>탑이진건,정글이석구,미드박상호,원딜이창호,서폿김현수</v>
      </c>
    </row>
    <row r="220">
      <c r="A220" s="7">
        <v>46276.0</v>
      </c>
      <c r="B220" s="1">
        <v>1.0</v>
      </c>
      <c r="C220" s="1" t="s">
        <v>52</v>
      </c>
      <c r="D220" s="1" t="s">
        <v>34</v>
      </c>
      <c r="E220" s="1" t="s">
        <v>29</v>
      </c>
      <c r="F220" s="1" t="s">
        <v>30</v>
      </c>
      <c r="G220" s="1">
        <v>8.0</v>
      </c>
      <c r="H220" s="1">
        <v>6.0</v>
      </c>
      <c r="I220" s="1">
        <v>7.0</v>
      </c>
      <c r="J220" s="2">
        <v>29410.0</v>
      </c>
      <c r="K220" s="2">
        <v>15346.0</v>
      </c>
      <c r="N220" s="4" t="str">
        <f>IFERROR(__xludf.DUMMYFUNCTION("TEXTJOIN("","", TRUE, FILTER($E$2:$E1000 &amp; $C$2:$C1000, $A$2:$A1000=A220, $B$2:$B1000=B220, $D$2:$D1000&lt;&gt;D220))"),"탑이진건,정글이석구,미드박상호,원딜이창호,서폿김현수")</f>
        <v>탑이진건,정글이석구,미드박상호,원딜이창호,서폿김현수</v>
      </c>
    </row>
    <row r="221">
      <c r="A221" s="7">
        <v>46276.0</v>
      </c>
      <c r="B221" s="1">
        <v>1.0</v>
      </c>
      <c r="C221" s="1" t="s">
        <v>21</v>
      </c>
      <c r="D221" s="1" t="s">
        <v>34</v>
      </c>
      <c r="E221" s="1" t="s">
        <v>31</v>
      </c>
      <c r="F221" s="1" t="s">
        <v>119</v>
      </c>
      <c r="G221" s="1">
        <v>0.0</v>
      </c>
      <c r="H221" s="1">
        <v>11.0</v>
      </c>
      <c r="I221" s="1">
        <v>10.0</v>
      </c>
      <c r="J221" s="2">
        <v>8587.0</v>
      </c>
      <c r="K221" s="2">
        <v>7298.0</v>
      </c>
      <c r="N221" s="4" t="str">
        <f>IFERROR(__xludf.DUMMYFUNCTION("TEXTJOIN("","", TRUE, FILTER($E$2:$E1000 &amp; $C$2:$C1000, $A$2:$A1000=A221, $B$2:$B1000=B221, $D$2:$D1000&lt;&gt;D221))"),"탑이진건,정글이석구,미드박상호,원딜이창호,서폿김현수")</f>
        <v>탑이진건,정글이석구,미드박상호,원딜이창호,서폿김현수</v>
      </c>
    </row>
    <row r="222">
      <c r="A222" s="7">
        <v>46276.0</v>
      </c>
      <c r="B222" s="1">
        <v>2.0</v>
      </c>
      <c r="C222" s="1" t="s">
        <v>43</v>
      </c>
      <c r="D222" s="1" t="s">
        <v>16</v>
      </c>
      <c r="E222" s="1" t="s">
        <v>17</v>
      </c>
      <c r="F222" s="1" t="s">
        <v>79</v>
      </c>
      <c r="G222" s="1">
        <v>2.0</v>
      </c>
      <c r="H222" s="1">
        <v>4.0</v>
      </c>
      <c r="I222" s="1">
        <v>8.0</v>
      </c>
      <c r="J222" s="2">
        <v>21355.0</v>
      </c>
      <c r="K222" s="2">
        <v>12323.0</v>
      </c>
      <c r="N222" s="4" t="str">
        <f>IFERROR(__xludf.DUMMYFUNCTION("TEXTJOIN("","", TRUE, FILTER($E$2:$E1000 &amp; $C$2:$C1000, $A$2:$A1000=A222, $B$2:$B1000=B222, $D$2:$D1000&lt;&gt;D222))"),"탑박원준,정글심재현,미드정용운,원딜천규환,서폿이세환")</f>
        <v>탑박원준,정글심재현,미드정용운,원딜천규환,서폿이세환</v>
      </c>
    </row>
    <row r="223">
      <c r="A223" s="7">
        <v>46276.0</v>
      </c>
      <c r="B223" s="1">
        <v>2.0</v>
      </c>
      <c r="C223" s="1" t="s">
        <v>45</v>
      </c>
      <c r="D223" s="1" t="s">
        <v>16</v>
      </c>
      <c r="E223" s="1" t="s">
        <v>23</v>
      </c>
      <c r="F223" s="1" t="s">
        <v>80</v>
      </c>
      <c r="G223" s="1">
        <v>10.0</v>
      </c>
      <c r="H223" s="1">
        <v>4.0</v>
      </c>
      <c r="I223" s="1">
        <v>18.0</v>
      </c>
      <c r="J223" s="2">
        <v>21262.0</v>
      </c>
      <c r="K223" s="2">
        <v>13212.0</v>
      </c>
      <c r="N223" s="4" t="str">
        <f>IFERROR(__xludf.DUMMYFUNCTION("TEXTJOIN("","", TRUE, FILTER($E$2:$E1000 &amp; $C$2:$C1000, $A$2:$A1000=A223, $B$2:$B1000=B223, $D$2:$D1000&lt;&gt;D223))"),"탑박원준,정글심재현,미드정용운,원딜천규환,서폿이세환")</f>
        <v>탑박원준,정글심재현,미드정용운,원딜천규환,서폿이세환</v>
      </c>
    </row>
    <row r="224">
      <c r="A224" s="7">
        <v>46276.0</v>
      </c>
      <c r="B224" s="1">
        <v>2.0</v>
      </c>
      <c r="C224" s="1" t="s">
        <v>15</v>
      </c>
      <c r="D224" s="1" t="s">
        <v>16</v>
      </c>
      <c r="E224" s="1" t="s">
        <v>19</v>
      </c>
      <c r="F224" s="1" t="s">
        <v>83</v>
      </c>
      <c r="G224" s="1">
        <v>10.0</v>
      </c>
      <c r="H224" s="1">
        <v>4.0</v>
      </c>
      <c r="I224" s="1">
        <v>17.0</v>
      </c>
      <c r="J224" s="2">
        <v>35150.0</v>
      </c>
      <c r="K224" s="2">
        <v>15579.0</v>
      </c>
      <c r="N224" s="4" t="str">
        <f>IFERROR(__xludf.DUMMYFUNCTION("TEXTJOIN("","", TRUE, FILTER($E$2:$E1000 &amp; $C$2:$C1000, $A$2:$A1000=A224, $B$2:$B1000=B224, $D$2:$D1000&lt;&gt;D224))"),"탑박원준,정글심재현,미드정용운,원딜천규환,서폿이세환")</f>
        <v>탑박원준,정글심재현,미드정용운,원딜천규환,서폿이세환</v>
      </c>
    </row>
    <row r="225">
      <c r="A225" s="7">
        <v>46276.0</v>
      </c>
      <c r="B225" s="1">
        <v>2.0</v>
      </c>
      <c r="C225" s="1" t="s">
        <v>39</v>
      </c>
      <c r="D225" s="1" t="s">
        <v>16</v>
      </c>
      <c r="E225" s="1" t="s">
        <v>29</v>
      </c>
      <c r="F225" s="1" t="s">
        <v>91</v>
      </c>
      <c r="G225" s="1">
        <v>14.0</v>
      </c>
      <c r="H225" s="1">
        <v>4.0</v>
      </c>
      <c r="I225" s="1">
        <v>11.0</v>
      </c>
      <c r="J225" s="2">
        <v>28405.0</v>
      </c>
      <c r="K225" s="2">
        <v>14985.0</v>
      </c>
      <c r="N225" s="4" t="str">
        <f>IFERROR(__xludf.DUMMYFUNCTION("TEXTJOIN("","", TRUE, FILTER($E$2:$E1000 &amp; $C$2:$C1000, $A$2:$A1000=A225, $B$2:$B1000=B225, $D$2:$D1000&lt;&gt;D225))"),"탑박원준,정글심재현,미드정용운,원딜천규환,서폿이세환")</f>
        <v>탑박원준,정글심재현,미드정용운,원딜천규환,서폿이세환</v>
      </c>
    </row>
    <row r="226">
      <c r="A226" s="7">
        <v>46276.0</v>
      </c>
      <c r="B226" s="1">
        <v>2.0</v>
      </c>
      <c r="C226" s="1" t="s">
        <v>41</v>
      </c>
      <c r="D226" s="1" t="s">
        <v>16</v>
      </c>
      <c r="E226" s="1" t="s">
        <v>31</v>
      </c>
      <c r="F226" s="1" t="s">
        <v>42</v>
      </c>
      <c r="G226" s="1">
        <v>5.0</v>
      </c>
      <c r="H226" s="1">
        <v>8.0</v>
      </c>
      <c r="I226" s="1">
        <v>26.0</v>
      </c>
      <c r="J226" s="2">
        <v>19947.0</v>
      </c>
      <c r="K226" s="2">
        <v>10036.0</v>
      </c>
      <c r="N226" s="4" t="str">
        <f>IFERROR(__xludf.DUMMYFUNCTION("TEXTJOIN("","", TRUE, FILTER($E$2:$E1000 &amp; $C$2:$C1000, $A$2:$A1000=A226, $B$2:$B1000=B226, $D$2:$D1000&lt;&gt;D226))"),"탑박원준,정글심재현,미드정용운,원딜천규환,서폿이세환")</f>
        <v>탑박원준,정글심재현,미드정용운,원딜천규환,서폿이세환</v>
      </c>
    </row>
    <row r="227">
      <c r="A227" s="7">
        <v>46276.0</v>
      </c>
      <c r="B227" s="1">
        <v>2.0</v>
      </c>
      <c r="C227" s="1" t="s">
        <v>57</v>
      </c>
      <c r="D227" s="1" t="s">
        <v>34</v>
      </c>
      <c r="E227" s="1" t="s">
        <v>17</v>
      </c>
      <c r="F227" s="1" t="s">
        <v>98</v>
      </c>
      <c r="G227" s="1">
        <v>2.0</v>
      </c>
      <c r="H227" s="1">
        <v>6.0</v>
      </c>
      <c r="I227" s="1">
        <v>7.0</v>
      </c>
      <c r="J227" s="2">
        <v>6030.0</v>
      </c>
      <c r="K227" s="2">
        <v>8053.0</v>
      </c>
      <c r="N227" s="4" t="str">
        <f>IFERROR(__xludf.DUMMYFUNCTION("TEXTJOIN("","", TRUE, FILTER($E$2:$E1000 &amp; $C$2:$C1000, $A$2:$A1000=A227, $B$2:$B1000=B227, $D$2:$D1000&lt;&gt;D227))"),"탑이진건,정글이석구,미드박상호,원딜이창호,서폿김현수")</f>
        <v>탑이진건,정글이석구,미드박상호,원딜이창호,서폿김현수</v>
      </c>
    </row>
    <row r="228">
      <c r="A228" s="7">
        <v>46276.0</v>
      </c>
      <c r="B228" s="1">
        <v>2.0</v>
      </c>
      <c r="C228" s="1" t="s">
        <v>36</v>
      </c>
      <c r="D228" s="1" t="s">
        <v>34</v>
      </c>
      <c r="E228" s="1" t="s">
        <v>23</v>
      </c>
      <c r="F228" s="1" t="s">
        <v>69</v>
      </c>
      <c r="G228" s="1">
        <v>8.0</v>
      </c>
      <c r="H228" s="1">
        <v>7.0</v>
      </c>
      <c r="I228" s="1">
        <v>8.0</v>
      </c>
      <c r="J228" s="2">
        <v>22567.0</v>
      </c>
      <c r="K228" s="2">
        <v>12966.0</v>
      </c>
      <c r="N228" s="4" t="str">
        <f>IFERROR(__xludf.DUMMYFUNCTION("TEXTJOIN("","", TRUE, FILTER($E$2:$E1000 &amp; $C$2:$C1000, $A$2:$A1000=A228, $B$2:$B1000=B228, $D$2:$D1000&lt;&gt;D228))"),"탑이진건,정글이석구,미드박상호,원딜이창호,서폿김현수")</f>
        <v>탑이진건,정글이석구,미드박상호,원딜이창호,서폿김현수</v>
      </c>
    </row>
    <row r="229">
      <c r="A229" s="7">
        <v>46276.0</v>
      </c>
      <c r="B229" s="1">
        <v>2.0</v>
      </c>
      <c r="C229" s="1" t="s">
        <v>28</v>
      </c>
      <c r="D229" s="1" t="s">
        <v>34</v>
      </c>
      <c r="E229" s="1" t="s">
        <v>19</v>
      </c>
      <c r="F229" s="1" t="s">
        <v>120</v>
      </c>
      <c r="G229" s="1">
        <v>7.0</v>
      </c>
      <c r="H229" s="1">
        <v>5.0</v>
      </c>
      <c r="I229" s="1">
        <v>5.0</v>
      </c>
      <c r="J229" s="2">
        <v>16575.0</v>
      </c>
      <c r="K229" s="2">
        <v>12105.0</v>
      </c>
      <c r="N229" s="4" t="str">
        <f>IFERROR(__xludf.DUMMYFUNCTION("TEXTJOIN("","", TRUE, FILTER($E$2:$E1000 &amp; $C$2:$C1000, $A$2:$A1000=A229, $B$2:$B1000=B229, $D$2:$D1000&lt;&gt;D229))"),"탑이진건,정글이석구,미드박상호,원딜이창호,서폿김현수")</f>
        <v>탑이진건,정글이석구,미드박상호,원딜이창호,서폿김현수</v>
      </c>
    </row>
    <row r="230">
      <c r="A230" s="7">
        <v>46276.0</v>
      </c>
      <c r="B230" s="1">
        <v>2.0</v>
      </c>
      <c r="C230" s="1" t="s">
        <v>52</v>
      </c>
      <c r="D230" s="1" t="s">
        <v>34</v>
      </c>
      <c r="E230" s="1" t="s">
        <v>29</v>
      </c>
      <c r="F230" s="1" t="s">
        <v>81</v>
      </c>
      <c r="G230" s="1">
        <v>2.0</v>
      </c>
      <c r="H230" s="1">
        <v>10.0</v>
      </c>
      <c r="I230" s="1">
        <v>6.0</v>
      </c>
      <c r="J230" s="2">
        <v>11390.0</v>
      </c>
      <c r="K230" s="2">
        <v>10814.0</v>
      </c>
      <c r="N230" s="4" t="str">
        <f>IFERROR(__xludf.DUMMYFUNCTION("TEXTJOIN("","", TRUE, FILTER($E$2:$E1000 &amp; $C$2:$C1000, $A$2:$A1000=A230, $B$2:$B1000=B230, $D$2:$D1000&lt;&gt;D230))"),"탑이진건,정글이석구,미드박상호,원딜이창호,서폿김현수")</f>
        <v>탑이진건,정글이석구,미드박상호,원딜이창호,서폿김현수</v>
      </c>
    </row>
    <row r="231">
      <c r="A231" s="7">
        <v>46276.0</v>
      </c>
      <c r="B231" s="1">
        <v>2.0</v>
      </c>
      <c r="C231" s="1" t="s">
        <v>21</v>
      </c>
      <c r="D231" s="1" t="s">
        <v>34</v>
      </c>
      <c r="E231" s="1" t="s">
        <v>31</v>
      </c>
      <c r="F231" s="1" t="s">
        <v>42</v>
      </c>
      <c r="G231" s="1">
        <v>4.0</v>
      </c>
      <c r="H231" s="1">
        <v>13.0</v>
      </c>
      <c r="I231" s="1">
        <v>3.0</v>
      </c>
      <c r="J231" s="2">
        <v>13675.0</v>
      </c>
      <c r="K231" s="2">
        <v>9825.0</v>
      </c>
      <c r="N231" s="4" t="str">
        <f>IFERROR(__xludf.DUMMYFUNCTION("TEXTJOIN("","", TRUE, FILTER($E$2:$E1000 &amp; $C$2:$C1000, $A$2:$A1000=A231, $B$2:$B1000=B231, $D$2:$D1000&lt;&gt;D231))"),"탑이진건,정글이석구,미드박상호,원딜이창호,서폿김현수")</f>
        <v>탑이진건,정글이석구,미드박상호,원딜이창호,서폿김현수</v>
      </c>
    </row>
    <row r="232">
      <c r="A232" s="7">
        <v>46276.0</v>
      </c>
      <c r="B232" s="1">
        <v>3.0</v>
      </c>
      <c r="C232" s="1" t="s">
        <v>43</v>
      </c>
      <c r="D232" s="1" t="s">
        <v>34</v>
      </c>
      <c r="E232" s="1" t="s">
        <v>17</v>
      </c>
      <c r="F232" s="1" t="s">
        <v>115</v>
      </c>
      <c r="G232" s="1">
        <v>6.0</v>
      </c>
      <c r="H232" s="1">
        <v>7.0</v>
      </c>
      <c r="I232" s="1">
        <v>7.0</v>
      </c>
      <c r="J232" s="6"/>
      <c r="K232" s="2">
        <v>8100.0</v>
      </c>
      <c r="N232" s="4" t="str">
        <f>IFERROR(__xludf.DUMMYFUNCTION("TEXTJOIN("","", TRUE, FILTER($E$2:$E1000 &amp; $C$2:$C1000, $A$2:$A1000=A232, $B$2:$B1000=B232, $D$2:$D1000&lt;&gt;D232))"),"탑박원준,정글심재현,미드정용운,원딜천규환,서폿이세환")</f>
        <v>탑박원준,정글심재현,미드정용운,원딜천규환,서폿이세환</v>
      </c>
    </row>
    <row r="233">
      <c r="A233" s="7">
        <v>46276.0</v>
      </c>
      <c r="B233" s="1">
        <v>3.0</v>
      </c>
      <c r="C233" s="1" t="s">
        <v>45</v>
      </c>
      <c r="D233" s="1" t="s">
        <v>34</v>
      </c>
      <c r="E233" s="1" t="s">
        <v>23</v>
      </c>
      <c r="F233" s="1" t="s">
        <v>106</v>
      </c>
      <c r="G233" s="1">
        <v>2.0</v>
      </c>
      <c r="H233" s="1">
        <v>1.0</v>
      </c>
      <c r="I233" s="1">
        <v>0.0</v>
      </c>
      <c r="J233" s="6"/>
      <c r="K233" s="2">
        <v>6399.0</v>
      </c>
      <c r="N233" s="4" t="str">
        <f>IFERROR(__xludf.DUMMYFUNCTION("TEXTJOIN("","", TRUE, FILTER($E$2:$E1000 &amp; $C$2:$C1000, $A$2:$A1000=A233, $B$2:$B1000=B233, $D$2:$D1000&lt;&gt;D233))"),"탑박원준,정글심재현,미드정용운,원딜천규환,서폿이세환")</f>
        <v>탑박원준,정글심재현,미드정용운,원딜천규환,서폿이세환</v>
      </c>
    </row>
    <row r="234">
      <c r="A234" s="7">
        <v>46276.0</v>
      </c>
      <c r="B234" s="1">
        <v>3.0</v>
      </c>
      <c r="C234" s="1" t="s">
        <v>15</v>
      </c>
      <c r="D234" s="1" t="s">
        <v>34</v>
      </c>
      <c r="E234" s="1" t="s">
        <v>19</v>
      </c>
      <c r="F234" s="1" t="s">
        <v>37</v>
      </c>
      <c r="G234" s="1">
        <v>1.0</v>
      </c>
      <c r="H234" s="1">
        <v>8.0</v>
      </c>
      <c r="I234" s="1">
        <v>3.0</v>
      </c>
      <c r="J234" s="6"/>
      <c r="K234" s="2">
        <v>5443.0</v>
      </c>
      <c r="N234" s="4" t="str">
        <f>IFERROR(__xludf.DUMMYFUNCTION("TEXTJOIN("","", TRUE, FILTER($E$2:$E1000 &amp; $C$2:$C1000, $A$2:$A1000=A234, $B$2:$B1000=B234, $D$2:$D1000&lt;&gt;D234))"),"탑박원준,정글심재현,미드정용운,원딜천규환,서폿이세환")</f>
        <v>탑박원준,정글심재현,미드정용운,원딜천규환,서폿이세환</v>
      </c>
    </row>
    <row r="235">
      <c r="A235" s="7">
        <v>46276.0</v>
      </c>
      <c r="B235" s="1">
        <v>3.0</v>
      </c>
      <c r="C235" s="1" t="s">
        <v>39</v>
      </c>
      <c r="D235" s="1" t="s">
        <v>34</v>
      </c>
      <c r="E235" s="1" t="s">
        <v>29</v>
      </c>
      <c r="F235" s="1" t="s">
        <v>96</v>
      </c>
      <c r="G235" s="1">
        <v>5.0</v>
      </c>
      <c r="H235" s="1">
        <v>6.0</v>
      </c>
      <c r="I235" s="1">
        <v>4.0</v>
      </c>
      <c r="J235" s="6"/>
      <c r="K235" s="2">
        <v>8478.0</v>
      </c>
      <c r="N235" s="4" t="str">
        <f>IFERROR(__xludf.DUMMYFUNCTION("TEXTJOIN("","", TRUE, FILTER($E$2:$E1000 &amp; $C$2:$C1000, $A$2:$A1000=A235, $B$2:$B1000=B235, $D$2:$D1000&lt;&gt;D235))"),"탑박원준,정글심재현,미드정용운,원딜천규환,서폿이세환")</f>
        <v>탑박원준,정글심재현,미드정용운,원딜천규환,서폿이세환</v>
      </c>
    </row>
    <row r="236">
      <c r="A236" s="7">
        <v>46276.0</v>
      </c>
      <c r="B236" s="1">
        <v>3.0</v>
      </c>
      <c r="C236" s="1" t="s">
        <v>41</v>
      </c>
      <c r="D236" s="1" t="s">
        <v>34</v>
      </c>
      <c r="E236" s="1" t="s">
        <v>31</v>
      </c>
      <c r="F236" s="1" t="s">
        <v>66</v>
      </c>
      <c r="G236" s="1">
        <v>2.0</v>
      </c>
      <c r="H236" s="1">
        <v>8.0</v>
      </c>
      <c r="I236" s="1">
        <v>8.0</v>
      </c>
      <c r="J236" s="6"/>
      <c r="K236" s="2">
        <v>5196.0</v>
      </c>
      <c r="N236" s="4" t="str">
        <f>IFERROR(__xludf.DUMMYFUNCTION("TEXTJOIN("","", TRUE, FILTER($E$2:$E1000 &amp; $C$2:$C1000, $A$2:$A1000=A236, $B$2:$B1000=B236, $D$2:$D1000&lt;&gt;D236))"),"탑박원준,정글심재현,미드정용운,원딜천규환,서폿이세환")</f>
        <v>탑박원준,정글심재현,미드정용운,원딜천규환,서폿이세환</v>
      </c>
    </row>
    <row r="237">
      <c r="A237" s="7">
        <v>46276.0</v>
      </c>
      <c r="B237" s="1">
        <v>3.0</v>
      </c>
      <c r="C237" s="1" t="s">
        <v>57</v>
      </c>
      <c r="D237" s="1" t="s">
        <v>16</v>
      </c>
      <c r="E237" s="1" t="s">
        <v>17</v>
      </c>
      <c r="F237" s="1" t="s">
        <v>24</v>
      </c>
      <c r="G237" s="1">
        <v>1.0</v>
      </c>
      <c r="H237" s="1">
        <v>0.0</v>
      </c>
      <c r="I237" s="1">
        <v>8.0</v>
      </c>
      <c r="J237" s="6"/>
      <c r="K237" s="2">
        <v>6425.0</v>
      </c>
      <c r="N237" s="4" t="str">
        <f>IFERROR(__xludf.DUMMYFUNCTION("TEXTJOIN("","", TRUE, FILTER($E$2:$E1000 &amp; $C$2:$C1000, $A$2:$A1000=A237, $B$2:$B1000=B237, $D$2:$D1000&lt;&gt;D237))"),"탑이진건,정글이석구,미드박상호,원딜이창호,서폿김현수")</f>
        <v>탑이진건,정글이석구,미드박상호,원딜이창호,서폿김현수</v>
      </c>
    </row>
    <row r="238">
      <c r="A238" s="7">
        <v>46276.0</v>
      </c>
      <c r="B238" s="1">
        <v>3.0</v>
      </c>
      <c r="C238" s="1" t="s">
        <v>36</v>
      </c>
      <c r="D238" s="1" t="s">
        <v>16</v>
      </c>
      <c r="E238" s="1" t="s">
        <v>23</v>
      </c>
      <c r="F238" s="1" t="s">
        <v>121</v>
      </c>
      <c r="G238" s="1">
        <v>6.0</v>
      </c>
      <c r="H238" s="1">
        <v>4.0</v>
      </c>
      <c r="I238" s="1">
        <v>11.0</v>
      </c>
      <c r="J238" s="6"/>
      <c r="K238" s="2">
        <v>9269.0</v>
      </c>
      <c r="N238" s="4" t="str">
        <f>IFERROR(__xludf.DUMMYFUNCTION("TEXTJOIN("","", TRUE, FILTER($E$2:$E1000 &amp; $C$2:$C1000, $A$2:$A1000=A238, $B$2:$B1000=B238, $D$2:$D1000&lt;&gt;D238))"),"탑이진건,정글이석구,미드박상호,원딜이창호,서폿김현수")</f>
        <v>탑이진건,정글이석구,미드박상호,원딜이창호,서폿김현수</v>
      </c>
    </row>
    <row r="239">
      <c r="A239" s="7">
        <v>46276.0</v>
      </c>
      <c r="B239" s="1">
        <v>3.0</v>
      </c>
      <c r="C239" s="1" t="s">
        <v>28</v>
      </c>
      <c r="D239" s="1" t="s">
        <v>16</v>
      </c>
      <c r="E239" s="1" t="s">
        <v>19</v>
      </c>
      <c r="F239" s="1" t="s">
        <v>109</v>
      </c>
      <c r="G239" s="1">
        <v>9.0</v>
      </c>
      <c r="H239" s="1">
        <v>5.0</v>
      </c>
      <c r="I239" s="1">
        <v>12.0</v>
      </c>
      <c r="J239" s="6"/>
      <c r="K239" s="2">
        <v>8588.0</v>
      </c>
      <c r="N239" s="4" t="str">
        <f>IFERROR(__xludf.DUMMYFUNCTION("TEXTJOIN("","", TRUE, FILTER($E$2:$E1000 &amp; $C$2:$C1000, $A$2:$A1000=A239, $B$2:$B1000=B239, $D$2:$D1000&lt;&gt;D239))"),"탑이진건,정글이석구,미드박상호,원딜이창호,서폿김현수")</f>
        <v>탑이진건,정글이석구,미드박상호,원딜이창호,서폿김현수</v>
      </c>
    </row>
    <row r="240">
      <c r="A240" s="7">
        <v>46276.0</v>
      </c>
      <c r="B240" s="1">
        <v>3.0</v>
      </c>
      <c r="C240" s="1" t="s">
        <v>52</v>
      </c>
      <c r="D240" s="1" t="s">
        <v>16</v>
      </c>
      <c r="E240" s="1" t="s">
        <v>29</v>
      </c>
      <c r="F240" s="1" t="s">
        <v>122</v>
      </c>
      <c r="G240" s="1">
        <v>9.0</v>
      </c>
      <c r="H240" s="1">
        <v>3.0</v>
      </c>
      <c r="I240" s="1">
        <v>12.0</v>
      </c>
      <c r="J240" s="6"/>
      <c r="K240" s="2">
        <v>11530.0</v>
      </c>
      <c r="N240" s="4" t="str">
        <f>IFERROR(__xludf.DUMMYFUNCTION("TEXTJOIN("","", TRUE, FILTER($E$2:$E1000 &amp; $C$2:$C1000, $A$2:$A1000=A240, $B$2:$B1000=B240, $D$2:$D1000&lt;&gt;D240))"),"탑이진건,정글이석구,미드박상호,원딜이창호,서폿김현수")</f>
        <v>탑이진건,정글이석구,미드박상호,원딜이창호,서폿김현수</v>
      </c>
    </row>
    <row r="241">
      <c r="A241" s="7">
        <v>46276.0</v>
      </c>
      <c r="B241" s="1">
        <v>3.0</v>
      </c>
      <c r="C241" s="1" t="s">
        <v>21</v>
      </c>
      <c r="D241" s="1" t="s">
        <v>16</v>
      </c>
      <c r="E241" s="1" t="s">
        <v>31</v>
      </c>
      <c r="F241" s="1" t="s">
        <v>123</v>
      </c>
      <c r="G241" s="1">
        <v>5.0</v>
      </c>
      <c r="H241" s="1">
        <v>4.0</v>
      </c>
      <c r="I241" s="1">
        <v>19.0</v>
      </c>
      <c r="J241" s="6"/>
      <c r="K241" s="2">
        <v>7464.0</v>
      </c>
      <c r="N241" s="4" t="str">
        <f>IFERROR(__xludf.DUMMYFUNCTION("TEXTJOIN("","", TRUE, FILTER($E$2:$E1000 &amp; $C$2:$C1000, $A$2:$A1000=A241, $B$2:$B1000=B241, $D$2:$D1000&lt;&gt;D241))"),"탑이진건,정글이석구,미드박상호,원딜이창호,서폿김현수")</f>
        <v>탑이진건,정글이석구,미드박상호,원딜이창호,서폿김현수</v>
      </c>
    </row>
    <row r="242">
      <c r="A242" s="7">
        <v>46276.0</v>
      </c>
      <c r="B242" s="1">
        <v>4.0</v>
      </c>
      <c r="C242" s="1" t="s">
        <v>43</v>
      </c>
      <c r="D242" s="1" t="s">
        <v>34</v>
      </c>
      <c r="E242" s="1" t="s">
        <v>17</v>
      </c>
      <c r="F242" s="1" t="s">
        <v>124</v>
      </c>
      <c r="G242" s="1">
        <v>5.0</v>
      </c>
      <c r="H242" s="1">
        <v>15.0</v>
      </c>
      <c r="I242" s="1">
        <v>6.0</v>
      </c>
      <c r="J242" s="6"/>
      <c r="K242" s="2">
        <v>9948.0</v>
      </c>
      <c r="N242" s="4" t="str">
        <f>IFERROR(__xludf.DUMMYFUNCTION("TEXTJOIN("","", TRUE, FILTER($E$2:$E1000 &amp; $C$2:$C1000, $A$2:$A1000=A242, $B$2:$B1000=B242, $D$2:$D1000&lt;&gt;D242))"),"탑박원준,정글심재현,미드정용운,원딜천규환,서폿이세환")</f>
        <v>탑박원준,정글심재현,미드정용운,원딜천규환,서폿이세환</v>
      </c>
    </row>
    <row r="243">
      <c r="A243" s="7">
        <v>46276.0</v>
      </c>
      <c r="B243" s="1">
        <v>4.0</v>
      </c>
      <c r="C243" s="1" t="s">
        <v>45</v>
      </c>
      <c r="D243" s="1" t="s">
        <v>34</v>
      </c>
      <c r="E243" s="1" t="s">
        <v>23</v>
      </c>
      <c r="F243" s="1" t="s">
        <v>35</v>
      </c>
      <c r="G243" s="1">
        <v>1.0</v>
      </c>
      <c r="H243" s="1">
        <v>6.0</v>
      </c>
      <c r="I243" s="1">
        <v>4.0</v>
      </c>
      <c r="J243" s="6"/>
      <c r="K243" s="2">
        <v>9494.0</v>
      </c>
      <c r="N243" s="4" t="str">
        <f>IFERROR(__xludf.DUMMYFUNCTION("TEXTJOIN("","", TRUE, FILTER($E$2:$E1000 &amp; $C$2:$C1000, $A$2:$A1000=A243, $B$2:$B1000=B243, $D$2:$D1000&lt;&gt;D243))"),"탑박원준,정글심재현,미드정용운,원딜천규환,서폿이세환")</f>
        <v>탑박원준,정글심재현,미드정용운,원딜천규환,서폿이세환</v>
      </c>
    </row>
    <row r="244">
      <c r="A244" s="7">
        <v>46276.0</v>
      </c>
      <c r="B244" s="1">
        <v>4.0</v>
      </c>
      <c r="C244" s="1" t="s">
        <v>15</v>
      </c>
      <c r="D244" s="1" t="s">
        <v>34</v>
      </c>
      <c r="E244" s="1" t="s">
        <v>19</v>
      </c>
      <c r="F244" s="1" t="s">
        <v>25</v>
      </c>
      <c r="G244" s="1">
        <v>3.0</v>
      </c>
      <c r="H244" s="1">
        <v>9.0</v>
      </c>
      <c r="I244" s="1">
        <v>4.0</v>
      </c>
      <c r="J244" s="6"/>
      <c r="K244" s="2">
        <v>12544.0</v>
      </c>
      <c r="N244" s="4" t="str">
        <f>IFERROR(__xludf.DUMMYFUNCTION("TEXTJOIN("","", TRUE, FILTER($E$2:$E1000 &amp; $C$2:$C1000, $A$2:$A1000=A244, $B$2:$B1000=B244, $D$2:$D1000&lt;&gt;D244))"),"탑박원준,정글심재현,미드정용운,원딜천규환,서폿이세환")</f>
        <v>탑박원준,정글심재현,미드정용운,원딜천규환,서폿이세환</v>
      </c>
    </row>
    <row r="245">
      <c r="A245" s="7">
        <v>46276.0</v>
      </c>
      <c r="B245" s="1">
        <v>4.0</v>
      </c>
      <c r="C245" s="1" t="s">
        <v>39</v>
      </c>
      <c r="D245" s="1" t="s">
        <v>34</v>
      </c>
      <c r="E245" s="1" t="s">
        <v>29</v>
      </c>
      <c r="F245" s="1" t="s">
        <v>60</v>
      </c>
      <c r="G245" s="1">
        <v>11.0</v>
      </c>
      <c r="H245" s="1">
        <v>10.0</v>
      </c>
      <c r="I245" s="1">
        <v>6.0</v>
      </c>
      <c r="J245" s="6"/>
      <c r="K245" s="2">
        <v>17463.0</v>
      </c>
      <c r="N245" s="4" t="str">
        <f>IFERROR(__xludf.DUMMYFUNCTION("TEXTJOIN("","", TRUE, FILTER($E$2:$E1000 &amp; $C$2:$C1000, $A$2:$A1000=A245, $B$2:$B1000=B245, $D$2:$D1000&lt;&gt;D245))"),"탑박원준,정글심재현,미드정용운,원딜천규환,서폿이세환")</f>
        <v>탑박원준,정글심재현,미드정용운,원딜천규환,서폿이세환</v>
      </c>
    </row>
    <row r="246">
      <c r="A246" s="7">
        <v>46276.0</v>
      </c>
      <c r="B246" s="1">
        <v>4.0</v>
      </c>
      <c r="C246" s="1" t="s">
        <v>41</v>
      </c>
      <c r="D246" s="1" t="s">
        <v>34</v>
      </c>
      <c r="E246" s="1" t="s">
        <v>31</v>
      </c>
      <c r="F246" s="1" t="s">
        <v>116</v>
      </c>
      <c r="G246" s="1">
        <v>2.0</v>
      </c>
      <c r="H246" s="1">
        <v>16.0</v>
      </c>
      <c r="I246" s="1">
        <v>12.0</v>
      </c>
      <c r="J246" s="6"/>
      <c r="K246" s="2">
        <v>9052.0</v>
      </c>
      <c r="N246" s="4" t="str">
        <f>IFERROR(__xludf.DUMMYFUNCTION("TEXTJOIN("","", TRUE, FILTER($E$2:$E1000 &amp; $C$2:$C1000, $A$2:$A1000=A246, $B$2:$B1000=B246, $D$2:$D1000&lt;&gt;D246))"),"탑박원준,정글심재현,미드정용운,원딜천규환,서폿이세환")</f>
        <v>탑박원준,정글심재현,미드정용운,원딜천규환,서폿이세환</v>
      </c>
    </row>
    <row r="247">
      <c r="A247" s="7">
        <v>46276.0</v>
      </c>
      <c r="B247" s="1">
        <v>4.0</v>
      </c>
      <c r="C247" s="1" t="s">
        <v>57</v>
      </c>
      <c r="D247" s="1" t="s">
        <v>16</v>
      </c>
      <c r="E247" s="1" t="s">
        <v>17</v>
      </c>
      <c r="F247" s="1" t="s">
        <v>125</v>
      </c>
      <c r="G247" s="1">
        <v>3.0</v>
      </c>
      <c r="H247" s="1">
        <v>2.0</v>
      </c>
      <c r="I247" s="1">
        <v>9.0</v>
      </c>
      <c r="J247" s="6"/>
      <c r="K247" s="2">
        <v>9084.0</v>
      </c>
      <c r="N247" s="4" t="str">
        <f>IFERROR(__xludf.DUMMYFUNCTION("TEXTJOIN("","", TRUE, FILTER($E$2:$E1000 &amp; $C$2:$C1000, $A$2:$A1000=A247, $B$2:$B1000=B247, $D$2:$D1000&lt;&gt;D247))"),"탑이진건,정글이석구,미드박상호,원딜이창호,서폿김현수")</f>
        <v>탑이진건,정글이석구,미드박상호,원딜이창호,서폿김현수</v>
      </c>
    </row>
    <row r="248">
      <c r="A248" s="7">
        <v>46276.0</v>
      </c>
      <c r="B248" s="1">
        <v>4.0</v>
      </c>
      <c r="C248" s="1" t="s">
        <v>36</v>
      </c>
      <c r="D248" s="1" t="s">
        <v>16</v>
      </c>
      <c r="E248" s="1" t="s">
        <v>23</v>
      </c>
      <c r="F248" s="1" t="s">
        <v>126</v>
      </c>
      <c r="G248" s="1">
        <v>16.0</v>
      </c>
      <c r="H248" s="1">
        <v>5.0</v>
      </c>
      <c r="I248" s="1">
        <v>18.0</v>
      </c>
      <c r="J248" s="6"/>
      <c r="K248" s="2">
        <v>16514.0</v>
      </c>
      <c r="N248" s="4" t="str">
        <f>IFERROR(__xludf.DUMMYFUNCTION("TEXTJOIN("","", TRUE, FILTER($E$2:$E1000 &amp; $C$2:$C1000, $A$2:$A1000=A248, $B$2:$B1000=B248, $D$2:$D1000&lt;&gt;D248))"),"탑이진건,정글이석구,미드박상호,원딜이창호,서폿김현수")</f>
        <v>탑이진건,정글이석구,미드박상호,원딜이창호,서폿김현수</v>
      </c>
    </row>
    <row r="249">
      <c r="A249" s="7">
        <v>46276.0</v>
      </c>
      <c r="B249" s="1">
        <v>4.0</v>
      </c>
      <c r="C249" s="1" t="s">
        <v>28</v>
      </c>
      <c r="D249" s="1" t="s">
        <v>16</v>
      </c>
      <c r="E249" s="1" t="s">
        <v>19</v>
      </c>
      <c r="F249" s="1" t="s">
        <v>88</v>
      </c>
      <c r="G249" s="1">
        <v>12.0</v>
      </c>
      <c r="H249" s="1">
        <v>4.0</v>
      </c>
      <c r="I249" s="1">
        <v>11.0</v>
      </c>
      <c r="J249" s="6"/>
      <c r="K249" s="2">
        <v>1926.0</v>
      </c>
      <c r="N249" s="4" t="str">
        <f>IFERROR(__xludf.DUMMYFUNCTION("TEXTJOIN("","", TRUE, FILTER($E$2:$E1000 &amp; $C$2:$C1000, $A$2:$A1000=A249, $B$2:$B1000=B249, $D$2:$D1000&lt;&gt;D249))"),"탑이진건,정글이석구,미드박상호,원딜이창호,서폿김현수")</f>
        <v>탑이진건,정글이석구,미드박상호,원딜이창호,서폿김현수</v>
      </c>
    </row>
    <row r="250">
      <c r="A250" s="7">
        <v>46276.0</v>
      </c>
      <c r="B250" s="1">
        <v>4.0</v>
      </c>
      <c r="C250" s="1" t="s">
        <v>52</v>
      </c>
      <c r="D250" s="1" t="s">
        <v>16</v>
      </c>
      <c r="E250" s="1" t="s">
        <v>29</v>
      </c>
      <c r="F250" s="1" t="s">
        <v>93</v>
      </c>
      <c r="G250" s="1">
        <v>19.0</v>
      </c>
      <c r="H250" s="1">
        <v>3.0</v>
      </c>
      <c r="I250" s="1">
        <v>21.0</v>
      </c>
      <c r="J250" s="6"/>
      <c r="K250" s="2">
        <v>20322.0</v>
      </c>
      <c r="N250" s="4" t="str">
        <f>IFERROR(__xludf.DUMMYFUNCTION("TEXTJOIN("","", TRUE, FILTER($E$2:$E1000 &amp; $C$2:$C1000, $A$2:$A1000=A250, $B$2:$B1000=B250, $D$2:$D1000&lt;&gt;D250))"),"탑이진건,정글이석구,미드박상호,원딜이창호,서폿김현수")</f>
        <v>탑이진건,정글이석구,미드박상호,원딜이창호,서폿김현수</v>
      </c>
    </row>
    <row r="251">
      <c r="A251" s="7">
        <v>46276.0</v>
      </c>
      <c r="B251" s="1">
        <v>4.0</v>
      </c>
      <c r="C251" s="1" t="s">
        <v>21</v>
      </c>
      <c r="D251" s="1" t="s">
        <v>16</v>
      </c>
      <c r="E251" s="1" t="s">
        <v>31</v>
      </c>
      <c r="F251" s="1" t="s">
        <v>61</v>
      </c>
      <c r="G251" s="1">
        <v>5.0</v>
      </c>
      <c r="H251" s="1">
        <v>8.0</v>
      </c>
      <c r="I251" s="1">
        <v>27.0</v>
      </c>
      <c r="J251" s="6"/>
      <c r="K251" s="2">
        <v>10705.0</v>
      </c>
      <c r="N251" s="4" t="str">
        <f>IFERROR(__xludf.DUMMYFUNCTION("TEXTJOIN("","", TRUE, FILTER($E$2:$E1000 &amp; $C$2:$C1000, $A$2:$A1000=A251, $B$2:$B1000=B251, $D$2:$D1000&lt;&gt;D251))"),"탑이진건,정글이석구,미드박상호,원딜이창호,서폿김현수")</f>
        <v>탑이진건,정글이석구,미드박상호,원딜이창호,서폿김현수</v>
      </c>
    </row>
    <row r="252">
      <c r="A252" s="7">
        <v>46276.0</v>
      </c>
      <c r="B252" s="1">
        <v>5.0</v>
      </c>
      <c r="C252" s="1" t="s">
        <v>43</v>
      </c>
      <c r="D252" s="1" t="s">
        <v>16</v>
      </c>
      <c r="E252" s="1" t="s">
        <v>17</v>
      </c>
      <c r="F252" s="1" t="s">
        <v>127</v>
      </c>
      <c r="G252" s="1">
        <v>7.0</v>
      </c>
      <c r="H252" s="1">
        <v>8.0</v>
      </c>
      <c r="I252" s="1">
        <v>7.0</v>
      </c>
      <c r="J252" s="2">
        <v>24415.0</v>
      </c>
      <c r="K252" s="2">
        <v>11861.0</v>
      </c>
      <c r="N252" s="4" t="str">
        <f>IFERROR(__xludf.DUMMYFUNCTION("TEXTJOIN("","", TRUE, FILTER($E$2:$E1000 &amp; $C$2:$C1000, $A$2:$A1000=A252, $B$2:$B1000=B252, $D$2:$D1000&lt;&gt;D252))"),"탑박원준,정글심재현,미드정용운,원딜천규환,서폿이세환")</f>
        <v>탑박원준,정글심재현,미드정용운,원딜천규환,서폿이세환</v>
      </c>
    </row>
    <row r="253">
      <c r="A253" s="7">
        <v>46276.0</v>
      </c>
      <c r="B253" s="1">
        <v>5.0</v>
      </c>
      <c r="C253" s="1" t="s">
        <v>45</v>
      </c>
      <c r="D253" s="1" t="s">
        <v>16</v>
      </c>
      <c r="E253" s="1" t="s">
        <v>23</v>
      </c>
      <c r="F253" s="1" t="s">
        <v>128</v>
      </c>
      <c r="G253" s="1">
        <v>5.0</v>
      </c>
      <c r="H253" s="1">
        <v>9.0</v>
      </c>
      <c r="I253" s="1">
        <v>23.0</v>
      </c>
      <c r="J253" s="2">
        <v>20563.0</v>
      </c>
      <c r="K253" s="2">
        <v>12852.0</v>
      </c>
      <c r="N253" s="4" t="str">
        <f>IFERROR(__xludf.DUMMYFUNCTION("TEXTJOIN("","", TRUE, FILTER($E$2:$E1000 &amp; $C$2:$C1000, $A$2:$A1000=A253, $B$2:$B1000=B253, $D$2:$D1000&lt;&gt;D253))"),"탑박원준,정글심재현,미드정용운,원딜천규환,서폿이세환")</f>
        <v>탑박원준,정글심재현,미드정용운,원딜천규환,서폿이세환</v>
      </c>
    </row>
    <row r="254">
      <c r="A254" s="7">
        <v>46276.0</v>
      </c>
      <c r="B254" s="1">
        <v>5.0</v>
      </c>
      <c r="C254" s="1" t="s">
        <v>15</v>
      </c>
      <c r="D254" s="1" t="s">
        <v>16</v>
      </c>
      <c r="E254" s="1" t="s">
        <v>19</v>
      </c>
      <c r="F254" s="1" t="s">
        <v>20</v>
      </c>
      <c r="G254" s="1">
        <v>10.0</v>
      </c>
      <c r="H254" s="1">
        <v>5.0</v>
      </c>
      <c r="I254" s="1">
        <v>7.0</v>
      </c>
      <c r="J254" s="2">
        <v>44343.0</v>
      </c>
      <c r="K254" s="2">
        <v>15648.0</v>
      </c>
      <c r="N254" s="4" t="str">
        <f>IFERROR(__xludf.DUMMYFUNCTION("TEXTJOIN("","", TRUE, FILTER($E$2:$E1000 &amp; $C$2:$C1000, $A$2:$A1000=A254, $B$2:$B1000=B254, $D$2:$D1000&lt;&gt;D254))"),"탑박원준,정글심재현,미드정용운,원딜천규환,서폿이세환")</f>
        <v>탑박원준,정글심재현,미드정용운,원딜천규환,서폿이세환</v>
      </c>
    </row>
    <row r="255">
      <c r="A255" s="7">
        <v>46276.0</v>
      </c>
      <c r="B255" s="1">
        <v>5.0</v>
      </c>
      <c r="C255" s="1" t="s">
        <v>39</v>
      </c>
      <c r="D255" s="1" t="s">
        <v>16</v>
      </c>
      <c r="E255" s="1" t="s">
        <v>29</v>
      </c>
      <c r="F255" s="1" t="s">
        <v>81</v>
      </c>
      <c r="G255" s="1">
        <v>14.0</v>
      </c>
      <c r="H255" s="1">
        <v>3.0</v>
      </c>
      <c r="I255" s="1">
        <v>11.0</v>
      </c>
      <c r="J255" s="2">
        <v>51847.0</v>
      </c>
      <c r="K255" s="2">
        <v>18334.0</v>
      </c>
      <c r="N255" s="4" t="str">
        <f>IFERROR(__xludf.DUMMYFUNCTION("TEXTJOIN("","", TRUE, FILTER($E$2:$E1000 &amp; $C$2:$C1000, $A$2:$A1000=A255, $B$2:$B1000=B255, $D$2:$D1000&lt;&gt;D255))"),"탑박원준,정글심재현,미드정용운,원딜천규환,서폿이세환")</f>
        <v>탑박원준,정글심재현,미드정용운,원딜천규환,서폿이세환</v>
      </c>
    </row>
    <row r="256">
      <c r="A256" s="7">
        <v>46276.0</v>
      </c>
      <c r="B256" s="1">
        <v>5.0</v>
      </c>
      <c r="C256" s="1" t="s">
        <v>41</v>
      </c>
      <c r="D256" s="1" t="s">
        <v>16</v>
      </c>
      <c r="E256" s="1" t="s">
        <v>31</v>
      </c>
      <c r="F256" s="1" t="s">
        <v>61</v>
      </c>
      <c r="G256" s="1">
        <v>4.0</v>
      </c>
      <c r="H256" s="1">
        <v>7.0</v>
      </c>
      <c r="I256" s="1">
        <v>22.0</v>
      </c>
      <c r="J256" s="2">
        <v>28437.0</v>
      </c>
      <c r="K256" s="2">
        <v>10626.0</v>
      </c>
      <c r="N256" s="4" t="str">
        <f>IFERROR(__xludf.DUMMYFUNCTION("TEXTJOIN("","", TRUE, FILTER($E$2:$E1000 &amp; $C$2:$C1000, $A$2:$A1000=A256, $B$2:$B1000=B256, $D$2:$D1000&lt;&gt;D256))"),"탑박원준,정글심재현,미드정용운,원딜천규환,서폿이세환")</f>
        <v>탑박원준,정글심재현,미드정용운,원딜천규환,서폿이세환</v>
      </c>
    </row>
    <row r="257">
      <c r="A257" s="7">
        <v>46276.0</v>
      </c>
      <c r="B257" s="1">
        <v>5.0</v>
      </c>
      <c r="C257" s="1" t="s">
        <v>57</v>
      </c>
      <c r="D257" s="1" t="s">
        <v>34</v>
      </c>
      <c r="E257" s="1" t="s">
        <v>17</v>
      </c>
      <c r="F257" s="1" t="s">
        <v>62</v>
      </c>
      <c r="G257" s="1">
        <v>4.0</v>
      </c>
      <c r="H257" s="1">
        <v>4.0</v>
      </c>
      <c r="I257" s="1">
        <v>10.0</v>
      </c>
      <c r="J257" s="2">
        <v>22251.0</v>
      </c>
      <c r="K257" s="2">
        <v>10330.0</v>
      </c>
      <c r="N257" s="4" t="str">
        <f>IFERROR(__xludf.DUMMYFUNCTION("TEXTJOIN("","", TRUE, FILTER($E$2:$E1000 &amp; $C$2:$C1000, $A$2:$A1000=A257, $B$2:$B1000=B257, $D$2:$D1000&lt;&gt;D257))"),"탑이진건,정글이석구,미드박상호,원딜이창호,서폿김현수")</f>
        <v>탑이진건,정글이석구,미드박상호,원딜이창호,서폿김현수</v>
      </c>
    </row>
    <row r="258">
      <c r="A258" s="7">
        <v>46276.0</v>
      </c>
      <c r="B258" s="1">
        <v>5.0</v>
      </c>
      <c r="C258" s="1" t="s">
        <v>36</v>
      </c>
      <c r="D258" s="1" t="s">
        <v>34</v>
      </c>
      <c r="E258" s="1" t="s">
        <v>23</v>
      </c>
      <c r="F258" s="1" t="s">
        <v>84</v>
      </c>
      <c r="G258" s="1">
        <v>11.0</v>
      </c>
      <c r="H258" s="1">
        <v>9.0</v>
      </c>
      <c r="I258" s="1">
        <v>10.0</v>
      </c>
      <c r="J258" s="2">
        <v>14273.0</v>
      </c>
      <c r="K258" s="2">
        <v>14151.0</v>
      </c>
      <c r="N258" s="4" t="str">
        <f>IFERROR(__xludf.DUMMYFUNCTION("TEXTJOIN("","", TRUE, FILTER($E$2:$E1000 &amp; $C$2:$C1000, $A$2:$A1000=A258, $B$2:$B1000=B258, $D$2:$D1000&lt;&gt;D258))"),"탑이진건,정글이석구,미드박상호,원딜이창호,서폿김현수")</f>
        <v>탑이진건,정글이석구,미드박상호,원딜이창호,서폿김현수</v>
      </c>
    </row>
    <row r="259">
      <c r="A259" s="7">
        <v>46276.0</v>
      </c>
      <c r="B259" s="1">
        <v>5.0</v>
      </c>
      <c r="C259" s="1" t="s">
        <v>28</v>
      </c>
      <c r="D259" s="1" t="s">
        <v>34</v>
      </c>
      <c r="E259" s="1" t="s">
        <v>19</v>
      </c>
      <c r="F259" s="1" t="s">
        <v>129</v>
      </c>
      <c r="G259" s="1">
        <v>3.0</v>
      </c>
      <c r="H259" s="1">
        <v>10.0</v>
      </c>
      <c r="I259" s="1">
        <v>11.0</v>
      </c>
      <c r="J259" s="2">
        <v>21282.0</v>
      </c>
      <c r="K259" s="2">
        <v>10404.0</v>
      </c>
      <c r="N259" s="4" t="str">
        <f>IFERROR(__xludf.DUMMYFUNCTION("TEXTJOIN("","", TRUE, FILTER($E$2:$E1000 &amp; $C$2:$C1000, $A$2:$A1000=A259, $B$2:$B1000=B259, $D$2:$D1000&lt;&gt;D259))"),"탑이진건,정글이석구,미드박상호,원딜이창호,서폿김현수")</f>
        <v>탑이진건,정글이석구,미드박상호,원딜이창호,서폿김현수</v>
      </c>
    </row>
    <row r="260">
      <c r="A260" s="7">
        <v>46276.0</v>
      </c>
      <c r="B260" s="1">
        <v>5.0</v>
      </c>
      <c r="C260" s="1" t="s">
        <v>52</v>
      </c>
      <c r="D260" s="1" t="s">
        <v>34</v>
      </c>
      <c r="E260" s="1" t="s">
        <v>29</v>
      </c>
      <c r="F260" s="1" t="s">
        <v>130</v>
      </c>
      <c r="G260" s="1">
        <v>8.0</v>
      </c>
      <c r="H260" s="1">
        <v>7.0</v>
      </c>
      <c r="I260" s="1">
        <v>8.0</v>
      </c>
      <c r="J260" s="2">
        <v>36228.0</v>
      </c>
      <c r="K260" s="2">
        <v>14637.0</v>
      </c>
      <c r="N260" s="4" t="str">
        <f>IFERROR(__xludf.DUMMYFUNCTION("TEXTJOIN("","", TRUE, FILTER($E$2:$E1000 &amp; $C$2:$C1000, $A$2:$A1000=A260, $B$2:$B1000=B260, $D$2:$D1000&lt;&gt;D260))"),"탑이진건,정글이석구,미드박상호,원딜이창호,서폿김현수")</f>
        <v>탑이진건,정글이석구,미드박상호,원딜이창호,서폿김현수</v>
      </c>
    </row>
    <row r="261">
      <c r="A261" s="7">
        <v>46276.0</v>
      </c>
      <c r="B261" s="1">
        <v>5.0</v>
      </c>
      <c r="C261" s="1" t="s">
        <v>21</v>
      </c>
      <c r="D261" s="1" t="s">
        <v>34</v>
      </c>
      <c r="E261" s="1" t="s">
        <v>31</v>
      </c>
      <c r="F261" s="1" t="s">
        <v>42</v>
      </c>
      <c r="G261" s="1">
        <v>6.0</v>
      </c>
      <c r="H261" s="1">
        <v>10.0</v>
      </c>
      <c r="I261" s="1">
        <v>16.0</v>
      </c>
      <c r="J261" s="2">
        <v>20778.0</v>
      </c>
      <c r="K261" s="2">
        <v>10466.0</v>
      </c>
      <c r="N261" s="4" t="str">
        <f>IFERROR(__xludf.DUMMYFUNCTION("TEXTJOIN("","", TRUE, FILTER($E$2:$E1000 &amp; $C$2:$C1000, $A$2:$A1000=A261, $B$2:$B1000=B261, $D$2:$D1000&lt;&gt;D261))"),"탑이진건,정글이석구,미드박상호,원딜이창호,서폿김현수")</f>
        <v>탑이진건,정글이석구,미드박상호,원딜이창호,서폿김현수</v>
      </c>
    </row>
    <row r="262">
      <c r="J262" s="6"/>
      <c r="K262" s="6"/>
      <c r="N262" s="4" t="str">
        <f>IFERROR(__xludf.DUMMYFUNCTION("TEXTJOIN("","", TRUE, FILTER($E$2:$E1000 &amp; $C$2:$C1000, $A$2:$A1000=A262, $B$2:$B1000=B262, $D$2:$D1000&lt;&gt;D262))"),"#N/A")</f>
        <v>#N/A</v>
      </c>
    </row>
    <row r="263">
      <c r="J263" s="6"/>
      <c r="K263" s="6"/>
      <c r="N263" s="4" t="str">
        <f>IFERROR(__xludf.DUMMYFUNCTION("TEXTJOIN("","", TRUE, FILTER($E$2:$E1000 &amp; $C$2:$C1000, $A$2:$A1000=A263, $B$2:$B1000=B263, $D$2:$D1000&lt;&gt;D263))"),"#N/A")</f>
        <v>#N/A</v>
      </c>
    </row>
    <row r="264">
      <c r="J264" s="6"/>
      <c r="K264" s="6"/>
      <c r="N264" s="4" t="str">
        <f>IFERROR(__xludf.DUMMYFUNCTION("TEXTJOIN("","", TRUE, FILTER($E$2:$E1000 &amp; $C$2:$C1000, $A$2:$A1000=A264, $B$2:$B1000=B264, $D$2:$D1000&lt;&gt;D264))"),"#N/A")</f>
        <v>#N/A</v>
      </c>
    </row>
    <row r="265">
      <c r="J265" s="6"/>
      <c r="K265" s="6"/>
      <c r="N265" s="4" t="str">
        <f>IFERROR(__xludf.DUMMYFUNCTION("TEXTJOIN("","", TRUE, FILTER($E$2:$E1000 &amp; $C$2:$C1000, $A$2:$A1000=A265, $B$2:$B1000=B265, $D$2:$D1000&lt;&gt;D265))"),"#N/A")</f>
        <v>#N/A</v>
      </c>
    </row>
    <row r="266">
      <c r="J266" s="6"/>
      <c r="K266" s="6"/>
      <c r="N266" s="4" t="str">
        <f>IFERROR(__xludf.DUMMYFUNCTION("TEXTJOIN("","", TRUE, FILTER($E$2:$E1000 &amp; $C$2:$C1000, $A$2:$A1000=A266, $B$2:$B1000=B266, $D$2:$D1000&lt;&gt;D266))"),"#N/A")</f>
        <v>#N/A</v>
      </c>
    </row>
    <row r="267">
      <c r="J267" s="6"/>
      <c r="K267" s="6"/>
      <c r="N267" s="4" t="str">
        <f>IFERROR(__xludf.DUMMYFUNCTION("TEXTJOIN("","", TRUE, FILTER($E$2:$E1000 &amp; $C$2:$C1000, $A$2:$A1000=A267, $B$2:$B1000=B267, $D$2:$D1000&lt;&gt;D267))"),"#N/A")</f>
        <v>#N/A</v>
      </c>
    </row>
    <row r="268">
      <c r="J268" s="6"/>
      <c r="K268" s="6"/>
      <c r="N268" s="4" t="str">
        <f>IFERROR(__xludf.DUMMYFUNCTION("TEXTJOIN("","", TRUE, FILTER($E$2:$E1000 &amp; $C$2:$C1000, $A$2:$A1000=A268, $B$2:$B1000=B268, $D$2:$D1000&lt;&gt;D268))"),"#N/A")</f>
        <v>#N/A</v>
      </c>
    </row>
    <row r="269">
      <c r="J269" s="6"/>
      <c r="K269" s="6"/>
      <c r="N269" s="4" t="str">
        <f>IFERROR(__xludf.DUMMYFUNCTION("TEXTJOIN("","", TRUE, FILTER($E$2:$E1000 &amp; $C$2:$C1000, $A$2:$A1000=A269, $B$2:$B1000=B269, $D$2:$D1000&lt;&gt;D269))"),"#N/A")</f>
        <v>#N/A</v>
      </c>
    </row>
    <row r="270">
      <c r="J270" s="6"/>
      <c r="K270" s="6"/>
      <c r="N270" s="4" t="str">
        <f>IFERROR(__xludf.DUMMYFUNCTION("TEXTJOIN("","", TRUE, FILTER($E$2:$E1000 &amp; $C$2:$C1000, $A$2:$A1000=A270, $B$2:$B1000=B270, $D$2:$D1000&lt;&gt;D270))"),"#N/A")</f>
        <v>#N/A</v>
      </c>
    </row>
    <row r="271">
      <c r="J271" s="6"/>
      <c r="K271" s="6"/>
      <c r="N271" s="4" t="str">
        <f>IFERROR(__xludf.DUMMYFUNCTION("TEXTJOIN("","", TRUE, FILTER($E$2:$E1000 &amp; $C$2:$C1000, $A$2:$A1000=A271, $B$2:$B1000=B271, $D$2:$D1000&lt;&gt;D271))"),"#N/A")</f>
        <v>#N/A</v>
      </c>
    </row>
    <row r="272">
      <c r="J272" s="6"/>
      <c r="K272" s="6"/>
      <c r="N272" s="4" t="str">
        <f>IFERROR(__xludf.DUMMYFUNCTION("TEXTJOIN("","", TRUE, FILTER($E$2:$E1000 &amp; $C$2:$C1000, $A$2:$A1000=A272, $B$2:$B1000=B272, $D$2:$D1000&lt;&gt;D272))"),"#N/A")</f>
        <v>#N/A</v>
      </c>
    </row>
    <row r="273">
      <c r="J273" s="6"/>
      <c r="K273" s="6"/>
      <c r="N273" s="4" t="str">
        <f>IFERROR(__xludf.DUMMYFUNCTION("TEXTJOIN("","", TRUE, FILTER($E$2:$E1000 &amp; $C$2:$C1000, $A$2:$A1000=A273, $B$2:$B1000=B273, $D$2:$D1000&lt;&gt;D273))"),"#N/A")</f>
        <v>#N/A</v>
      </c>
    </row>
    <row r="274">
      <c r="J274" s="6"/>
      <c r="K274" s="6"/>
      <c r="N274" s="4" t="str">
        <f>IFERROR(__xludf.DUMMYFUNCTION("TEXTJOIN("","", TRUE, FILTER($E$2:$E1000 &amp; $C$2:$C1000, $A$2:$A1000=A274, $B$2:$B1000=B274, $D$2:$D1000&lt;&gt;D274))"),"#N/A")</f>
        <v>#N/A</v>
      </c>
    </row>
    <row r="275">
      <c r="J275" s="6"/>
      <c r="K275" s="6"/>
      <c r="N275" s="4" t="str">
        <f>IFERROR(__xludf.DUMMYFUNCTION("TEXTJOIN("","", TRUE, FILTER($E$2:$E1000 &amp; $C$2:$C1000, $A$2:$A1000=A275, $B$2:$B1000=B275, $D$2:$D1000&lt;&gt;D275))"),"#N/A")</f>
        <v>#N/A</v>
      </c>
    </row>
    <row r="276">
      <c r="J276" s="6"/>
      <c r="K276" s="6"/>
      <c r="N276" s="4" t="str">
        <f>IFERROR(__xludf.DUMMYFUNCTION("TEXTJOIN("","", TRUE, FILTER($E$2:$E1000 &amp; $C$2:$C1000, $A$2:$A1000=A276, $B$2:$B1000=B276, $D$2:$D1000&lt;&gt;D276))"),"#N/A")</f>
        <v>#N/A</v>
      </c>
    </row>
    <row r="277">
      <c r="J277" s="6"/>
      <c r="K277" s="6"/>
      <c r="N277" s="4" t="str">
        <f>IFERROR(__xludf.DUMMYFUNCTION("TEXTJOIN("","", TRUE, FILTER($E$2:$E1000 &amp; $C$2:$C1000, $A$2:$A1000=A277, $B$2:$B1000=B277, $D$2:$D1000&lt;&gt;D277))"),"#N/A")</f>
        <v>#N/A</v>
      </c>
    </row>
    <row r="278">
      <c r="J278" s="6"/>
      <c r="K278" s="6"/>
      <c r="N278" s="4" t="str">
        <f>IFERROR(__xludf.DUMMYFUNCTION("TEXTJOIN("","", TRUE, FILTER($E$2:$E1000 &amp; $C$2:$C1000, $A$2:$A1000=A278, $B$2:$B1000=B278, $D$2:$D1000&lt;&gt;D278))"),"#N/A")</f>
        <v>#N/A</v>
      </c>
    </row>
    <row r="279">
      <c r="J279" s="6"/>
      <c r="K279" s="6"/>
      <c r="N279" s="4" t="str">
        <f>IFERROR(__xludf.DUMMYFUNCTION("TEXTJOIN("","", TRUE, FILTER($E$2:$E1000 &amp; $C$2:$C1000, $A$2:$A1000=A279, $B$2:$B1000=B279, $D$2:$D1000&lt;&gt;D279))"),"#N/A")</f>
        <v>#N/A</v>
      </c>
    </row>
    <row r="280">
      <c r="J280" s="6"/>
      <c r="K280" s="6"/>
      <c r="N280" s="4" t="str">
        <f>IFERROR(__xludf.DUMMYFUNCTION("TEXTJOIN("","", TRUE, FILTER($E$2:$E1000 &amp; $C$2:$C1000, $A$2:$A1000=A280, $B$2:$B1000=B280, $D$2:$D1000&lt;&gt;D280))"),"#N/A")</f>
        <v>#N/A</v>
      </c>
    </row>
    <row r="281">
      <c r="J281" s="6"/>
      <c r="K281" s="6"/>
      <c r="N281" s="4" t="str">
        <f>IFERROR(__xludf.DUMMYFUNCTION("TEXTJOIN("","", TRUE, FILTER($E$2:$E1000 &amp; $C$2:$C1000, $A$2:$A1000=A281, $B$2:$B1000=B281, $D$2:$D1000&lt;&gt;D281))"),"#N/A")</f>
        <v>#N/A</v>
      </c>
    </row>
    <row r="282">
      <c r="J282" s="6"/>
      <c r="K282" s="6"/>
      <c r="N282" s="4" t="str">
        <f>IFERROR(__xludf.DUMMYFUNCTION("TEXTJOIN("","", TRUE, FILTER($E$2:$E1000 &amp; $C$2:$C1000, $A$2:$A1000=A282, $B$2:$B1000=B282, $D$2:$D1000&lt;&gt;D282))"),"#N/A")</f>
        <v>#N/A</v>
      </c>
    </row>
    <row r="283">
      <c r="J283" s="6"/>
      <c r="K283" s="6"/>
      <c r="N283" s="4" t="str">
        <f>IFERROR(__xludf.DUMMYFUNCTION("TEXTJOIN("","", TRUE, FILTER($E$2:$E1000 &amp; $C$2:$C1000, $A$2:$A1000=A283, $B$2:$B1000=B283, $D$2:$D1000&lt;&gt;D283))"),"#N/A")</f>
        <v>#N/A</v>
      </c>
    </row>
    <row r="284">
      <c r="J284" s="6"/>
      <c r="K284" s="6"/>
      <c r="N284" s="4" t="str">
        <f>IFERROR(__xludf.DUMMYFUNCTION("TEXTJOIN("","", TRUE, FILTER($E$2:$E1000 &amp; $C$2:$C1000, $A$2:$A1000=A284, $B$2:$B1000=B284, $D$2:$D1000&lt;&gt;D284))"),"#N/A")</f>
        <v>#N/A</v>
      </c>
    </row>
    <row r="285">
      <c r="J285" s="6"/>
      <c r="K285" s="6"/>
      <c r="N285" s="4" t="str">
        <f>IFERROR(__xludf.DUMMYFUNCTION("TEXTJOIN("","", TRUE, FILTER($E$2:$E1000 &amp; $C$2:$C1000, $A$2:$A1000=A285, $B$2:$B1000=B285, $D$2:$D1000&lt;&gt;D285))"),"#N/A")</f>
        <v>#N/A</v>
      </c>
    </row>
    <row r="286">
      <c r="J286" s="6"/>
      <c r="K286" s="6"/>
      <c r="N286" s="4" t="str">
        <f>IFERROR(__xludf.DUMMYFUNCTION("TEXTJOIN("","", TRUE, FILTER($E$2:$E1000 &amp; $C$2:$C1000, $A$2:$A1000=A286, $B$2:$B1000=B286, $D$2:$D1000&lt;&gt;D286))"),"#N/A")</f>
        <v>#N/A</v>
      </c>
    </row>
    <row r="287">
      <c r="J287" s="6"/>
      <c r="K287" s="6"/>
      <c r="N287" s="4" t="str">
        <f>IFERROR(__xludf.DUMMYFUNCTION("TEXTJOIN("","", TRUE, FILTER($E$2:$E1000 &amp; $C$2:$C1000, $A$2:$A1000=A287, $B$2:$B1000=B287, $D$2:$D1000&lt;&gt;D287))"),"#N/A")</f>
        <v>#N/A</v>
      </c>
    </row>
    <row r="288">
      <c r="J288" s="6"/>
      <c r="K288" s="6"/>
      <c r="N288" s="4" t="str">
        <f>IFERROR(__xludf.DUMMYFUNCTION("TEXTJOIN("","", TRUE, FILTER($E$2:$E1000 &amp; $C$2:$C1000, $A$2:$A1000=A288, $B$2:$B1000=B288, $D$2:$D1000&lt;&gt;D288))"),"#N/A")</f>
        <v>#N/A</v>
      </c>
    </row>
    <row r="289">
      <c r="J289" s="6"/>
      <c r="K289" s="6"/>
      <c r="N289" s="4" t="str">
        <f>IFERROR(__xludf.DUMMYFUNCTION("TEXTJOIN("","", TRUE, FILTER($E$2:$E1000 &amp; $C$2:$C1000, $A$2:$A1000=A289, $B$2:$B1000=B289, $D$2:$D1000&lt;&gt;D289))"),"#N/A")</f>
        <v>#N/A</v>
      </c>
    </row>
    <row r="290">
      <c r="J290" s="6"/>
      <c r="K290" s="6"/>
      <c r="N290" s="4" t="str">
        <f>IFERROR(__xludf.DUMMYFUNCTION("TEXTJOIN("","", TRUE, FILTER($E$2:$E1000 &amp; $C$2:$C1000, $A$2:$A1000=A290, $B$2:$B1000=B290, $D$2:$D1000&lt;&gt;D290))"),"#N/A")</f>
        <v>#N/A</v>
      </c>
    </row>
    <row r="291">
      <c r="J291" s="6"/>
      <c r="K291" s="6"/>
      <c r="N291" s="4" t="str">
        <f>IFERROR(__xludf.DUMMYFUNCTION("TEXTJOIN("","", TRUE, FILTER($E$2:$E1000 &amp; $C$2:$C1000, $A$2:$A1000=A291, $B$2:$B1000=B291, $D$2:$D1000&lt;&gt;D291))"),"#N/A")</f>
        <v>#N/A</v>
      </c>
    </row>
    <row r="292">
      <c r="J292" s="6"/>
      <c r="K292" s="6"/>
      <c r="N292" s="4" t="str">
        <f>IFERROR(__xludf.DUMMYFUNCTION("TEXTJOIN("","", TRUE, FILTER($E$2:$E1000 &amp; $C$2:$C1000, $A$2:$A1000=A292, $B$2:$B1000=B292, $D$2:$D1000&lt;&gt;D292))"),"#N/A")</f>
        <v>#N/A</v>
      </c>
    </row>
    <row r="293">
      <c r="J293" s="6"/>
      <c r="K293" s="6"/>
      <c r="N293" s="4" t="str">
        <f>IFERROR(__xludf.DUMMYFUNCTION("TEXTJOIN("","", TRUE, FILTER($E$2:$E1000 &amp; $C$2:$C1000, $A$2:$A1000=A293, $B$2:$B1000=B293, $D$2:$D1000&lt;&gt;D293))"),"#N/A")</f>
        <v>#N/A</v>
      </c>
    </row>
    <row r="294">
      <c r="J294" s="6"/>
      <c r="K294" s="6"/>
      <c r="N294" s="4" t="str">
        <f>IFERROR(__xludf.DUMMYFUNCTION("TEXTJOIN("","", TRUE, FILTER($E$2:$E1000 &amp; $C$2:$C1000, $A$2:$A1000=A294, $B$2:$B1000=B294, $D$2:$D1000&lt;&gt;D294))"),"#N/A")</f>
        <v>#N/A</v>
      </c>
    </row>
    <row r="295">
      <c r="J295" s="6"/>
      <c r="K295" s="6"/>
      <c r="N295" s="4" t="str">
        <f>IFERROR(__xludf.DUMMYFUNCTION("TEXTJOIN("","", TRUE, FILTER($E$2:$E1000 &amp; $C$2:$C1000, $A$2:$A1000=A295, $B$2:$B1000=B295, $D$2:$D1000&lt;&gt;D295))"),"#N/A")</f>
        <v>#N/A</v>
      </c>
    </row>
    <row r="296">
      <c r="J296" s="6"/>
      <c r="K296" s="6"/>
      <c r="N296" s="4" t="str">
        <f>IFERROR(__xludf.DUMMYFUNCTION("TEXTJOIN("","", TRUE, FILTER($E$2:$E1000 &amp; $C$2:$C1000, $A$2:$A1000=A296, $B$2:$B1000=B296, $D$2:$D1000&lt;&gt;D296))"),"#N/A")</f>
        <v>#N/A</v>
      </c>
    </row>
    <row r="297">
      <c r="J297" s="6"/>
      <c r="K297" s="6"/>
      <c r="N297" s="4" t="str">
        <f>IFERROR(__xludf.DUMMYFUNCTION("TEXTJOIN("","", TRUE, FILTER($E$2:$E1000 &amp; $C$2:$C1000, $A$2:$A1000=A297, $B$2:$B1000=B297, $D$2:$D1000&lt;&gt;D297))"),"#N/A")</f>
        <v>#N/A</v>
      </c>
    </row>
    <row r="298">
      <c r="J298" s="6"/>
      <c r="K298" s="6"/>
      <c r="N298" s="4" t="str">
        <f>IFERROR(__xludf.DUMMYFUNCTION("TEXTJOIN("","", TRUE, FILTER($E$2:$E1000 &amp; $C$2:$C1000, $A$2:$A1000=A298, $B$2:$B1000=B298, $D$2:$D1000&lt;&gt;D298))"),"#N/A")</f>
        <v>#N/A</v>
      </c>
    </row>
    <row r="299">
      <c r="J299" s="6"/>
      <c r="K299" s="6"/>
      <c r="N299" s="4" t="str">
        <f>IFERROR(__xludf.DUMMYFUNCTION("TEXTJOIN("","", TRUE, FILTER($E$2:$E1000 &amp; $C$2:$C1000, $A$2:$A1000=A299, $B$2:$B1000=B299, $D$2:$D1000&lt;&gt;D299))"),"#N/A")</f>
        <v>#N/A</v>
      </c>
    </row>
    <row r="300">
      <c r="J300" s="6"/>
      <c r="K300" s="6"/>
      <c r="N300" s="4" t="str">
        <f>IFERROR(__xludf.DUMMYFUNCTION("TEXTJOIN("","", TRUE, FILTER($E$2:$E1000 &amp; $C$2:$C1000, $A$2:$A1000=A300, $B$2:$B1000=B300, $D$2:$D1000&lt;&gt;D300))"),"#N/A")</f>
        <v>#N/A</v>
      </c>
    </row>
    <row r="301">
      <c r="J301" s="6"/>
      <c r="K301" s="6"/>
      <c r="N301" s="4" t="str">
        <f>IFERROR(__xludf.DUMMYFUNCTION("TEXTJOIN("","", TRUE, FILTER($E$2:$E1000 &amp; $C$2:$C1000, $A$2:$A1000=A301, $B$2:$B1000=B301, $D$2:$D1000&lt;&gt;D301))"),"#N/A")</f>
        <v>#N/A</v>
      </c>
    </row>
    <row r="302">
      <c r="J302" s="6"/>
      <c r="K302" s="6"/>
      <c r="N302" s="4" t="str">
        <f>IFERROR(__xludf.DUMMYFUNCTION("TEXTJOIN("","", TRUE, FILTER($E$2:$E1000 &amp; $C$2:$C1000, $A$2:$A1000=A302, $B$2:$B1000=B302, $D$2:$D1000&lt;&gt;D302))"),"#N/A")</f>
        <v>#N/A</v>
      </c>
    </row>
    <row r="303">
      <c r="J303" s="6"/>
      <c r="K303" s="6"/>
      <c r="N303" s="4" t="str">
        <f>IFERROR(__xludf.DUMMYFUNCTION("TEXTJOIN("","", TRUE, FILTER($E$2:$E1000 &amp; $C$2:$C1000, $A$2:$A1000=A303, $B$2:$B1000=B303, $D$2:$D1000&lt;&gt;D303))"),"#N/A")</f>
        <v>#N/A</v>
      </c>
    </row>
    <row r="304">
      <c r="J304" s="6"/>
      <c r="K304" s="6"/>
      <c r="N304" s="4" t="str">
        <f>IFERROR(__xludf.DUMMYFUNCTION("TEXTJOIN("","", TRUE, FILTER($E$2:$E1000 &amp; $C$2:$C1000, $A$2:$A1000=A304, $B$2:$B1000=B304, $D$2:$D1000&lt;&gt;D304))"),"#N/A")</f>
        <v>#N/A</v>
      </c>
    </row>
    <row r="305">
      <c r="J305" s="6"/>
      <c r="K305" s="6"/>
      <c r="N305" s="4" t="str">
        <f>IFERROR(__xludf.DUMMYFUNCTION("TEXTJOIN("","", TRUE, FILTER($E$2:$E1000 &amp; $C$2:$C1000, $A$2:$A1000=A305, $B$2:$B1000=B305, $D$2:$D1000&lt;&gt;D305))"),"#N/A")</f>
        <v>#N/A</v>
      </c>
    </row>
    <row r="306">
      <c r="J306" s="6"/>
      <c r="K306" s="6"/>
      <c r="N306" s="4" t="str">
        <f>IFERROR(__xludf.DUMMYFUNCTION("TEXTJOIN("","", TRUE, FILTER($E$2:$E1000 &amp; $C$2:$C1000, $A$2:$A1000=A306, $B$2:$B1000=B306, $D$2:$D1000&lt;&gt;D306))"),"#N/A")</f>
        <v>#N/A</v>
      </c>
    </row>
    <row r="307">
      <c r="J307" s="6"/>
      <c r="K307" s="6"/>
      <c r="N307" s="4" t="str">
        <f>IFERROR(__xludf.DUMMYFUNCTION("TEXTJOIN("","", TRUE, FILTER($E$2:$E1000 &amp; $C$2:$C1000, $A$2:$A1000=A307, $B$2:$B1000=B307, $D$2:$D1000&lt;&gt;D307))"),"#N/A")</f>
        <v>#N/A</v>
      </c>
    </row>
    <row r="308">
      <c r="J308" s="6"/>
      <c r="K308" s="6"/>
      <c r="N308" s="4" t="str">
        <f>IFERROR(__xludf.DUMMYFUNCTION("TEXTJOIN("","", TRUE, FILTER($E$2:$E1000 &amp; $C$2:$C1000, $A$2:$A1000=A308, $B$2:$B1000=B308, $D$2:$D1000&lt;&gt;D308))"),"#N/A")</f>
        <v>#N/A</v>
      </c>
    </row>
    <row r="309">
      <c r="J309" s="6"/>
      <c r="K309" s="6"/>
      <c r="N309" s="4" t="str">
        <f>IFERROR(__xludf.DUMMYFUNCTION("TEXTJOIN("","", TRUE, FILTER($E$2:$E1000 &amp; $C$2:$C1000, $A$2:$A1000=A309, $B$2:$B1000=B309, $D$2:$D1000&lt;&gt;D309))"),"#N/A")</f>
        <v>#N/A</v>
      </c>
    </row>
    <row r="310">
      <c r="J310" s="6"/>
      <c r="K310" s="6"/>
      <c r="N310" s="4" t="str">
        <f>IFERROR(__xludf.DUMMYFUNCTION("TEXTJOIN("","", TRUE, FILTER($E$2:$E1000 &amp; $C$2:$C1000, $A$2:$A1000=A310, $B$2:$B1000=B310, $D$2:$D1000&lt;&gt;D310))"),"#N/A")</f>
        <v>#N/A</v>
      </c>
    </row>
    <row r="311">
      <c r="J311" s="6"/>
      <c r="K311" s="6"/>
      <c r="N311" s="4" t="str">
        <f>IFERROR(__xludf.DUMMYFUNCTION("TEXTJOIN("","", TRUE, FILTER($E$2:$E1000 &amp; $C$2:$C1000, $A$2:$A1000=A311, $B$2:$B1000=B311, $D$2:$D1000&lt;&gt;D311))"),"#N/A")</f>
        <v>#N/A</v>
      </c>
    </row>
    <row r="312">
      <c r="J312" s="6"/>
      <c r="K312" s="6"/>
      <c r="N312" s="4" t="str">
        <f>IFERROR(__xludf.DUMMYFUNCTION("TEXTJOIN("","", TRUE, FILTER($E$2:$E1000 &amp; $C$2:$C1000, $A$2:$A1000=A312, $B$2:$B1000=B312, $D$2:$D1000&lt;&gt;D312))"),"#N/A")</f>
        <v>#N/A</v>
      </c>
    </row>
    <row r="313">
      <c r="J313" s="6"/>
      <c r="K313" s="6"/>
      <c r="N313" s="4" t="str">
        <f>IFERROR(__xludf.DUMMYFUNCTION("TEXTJOIN("","", TRUE, FILTER($E$2:$E1000 &amp; $C$2:$C1000, $A$2:$A1000=A313, $B$2:$B1000=B313, $D$2:$D1000&lt;&gt;D313))"),"#N/A")</f>
        <v>#N/A</v>
      </c>
    </row>
    <row r="314">
      <c r="J314" s="6"/>
      <c r="K314" s="6"/>
      <c r="N314" s="4" t="str">
        <f>IFERROR(__xludf.DUMMYFUNCTION("TEXTJOIN("","", TRUE, FILTER($E$2:$E1000 &amp; $C$2:$C1000, $A$2:$A1000=A314, $B$2:$B1000=B314, $D$2:$D1000&lt;&gt;D314))"),"#N/A")</f>
        <v>#N/A</v>
      </c>
    </row>
    <row r="315">
      <c r="J315" s="6"/>
      <c r="K315" s="6"/>
      <c r="N315" s="4" t="str">
        <f>IFERROR(__xludf.DUMMYFUNCTION("TEXTJOIN("","", TRUE, FILTER($E$2:$E1000 &amp; $C$2:$C1000, $A$2:$A1000=A315, $B$2:$B1000=B315, $D$2:$D1000&lt;&gt;D315))"),"#N/A")</f>
        <v>#N/A</v>
      </c>
    </row>
    <row r="316">
      <c r="J316" s="6"/>
      <c r="K316" s="6"/>
      <c r="N316" s="4" t="str">
        <f>IFERROR(__xludf.DUMMYFUNCTION("TEXTJOIN("","", TRUE, FILTER($E$2:$E1000 &amp; $C$2:$C1000, $A$2:$A1000=A316, $B$2:$B1000=B316, $D$2:$D1000&lt;&gt;D316))"),"#N/A")</f>
        <v>#N/A</v>
      </c>
    </row>
    <row r="317">
      <c r="J317" s="6"/>
      <c r="K317" s="6"/>
      <c r="N317" s="4" t="str">
        <f>IFERROR(__xludf.DUMMYFUNCTION("TEXTJOIN("","", TRUE, FILTER($E$2:$E1000 &amp; $C$2:$C1000, $A$2:$A1000=A317, $B$2:$B1000=B317, $D$2:$D1000&lt;&gt;D317))"),"#N/A")</f>
        <v>#N/A</v>
      </c>
    </row>
    <row r="318">
      <c r="J318" s="6"/>
      <c r="K318" s="6"/>
      <c r="N318" s="4" t="str">
        <f>IFERROR(__xludf.DUMMYFUNCTION("TEXTJOIN("","", TRUE, FILTER($E$2:$E1000 &amp; $C$2:$C1000, $A$2:$A1000=A318, $B$2:$B1000=B318, $D$2:$D1000&lt;&gt;D318))"),"#N/A")</f>
        <v>#N/A</v>
      </c>
    </row>
    <row r="319">
      <c r="J319" s="6"/>
      <c r="K319" s="6"/>
      <c r="N319" s="4" t="str">
        <f>IFERROR(__xludf.DUMMYFUNCTION("TEXTJOIN("","", TRUE, FILTER($E$2:$E1000 &amp; $C$2:$C1000, $A$2:$A1000=A319, $B$2:$B1000=B319, $D$2:$D1000&lt;&gt;D319))"),"#N/A")</f>
        <v>#N/A</v>
      </c>
    </row>
    <row r="320">
      <c r="J320" s="6"/>
      <c r="K320" s="6"/>
      <c r="N320" s="4" t="str">
        <f>IFERROR(__xludf.DUMMYFUNCTION("TEXTJOIN("","", TRUE, FILTER($E$2:$E1000 &amp; $C$2:$C1000, $A$2:$A1000=A320, $B$2:$B1000=B320, $D$2:$D1000&lt;&gt;D320))"),"#N/A")</f>
        <v>#N/A</v>
      </c>
    </row>
    <row r="321">
      <c r="J321" s="6"/>
      <c r="K321" s="6"/>
      <c r="N321" s="4" t="str">
        <f>IFERROR(__xludf.DUMMYFUNCTION("TEXTJOIN("","", TRUE, FILTER($E$2:$E1000 &amp; $C$2:$C1000, $A$2:$A1000=A321, $B$2:$B1000=B321, $D$2:$D1000&lt;&gt;D321))"),"#N/A")</f>
        <v>#N/A</v>
      </c>
    </row>
    <row r="322">
      <c r="J322" s="6"/>
      <c r="K322" s="6"/>
      <c r="N322" s="4" t="str">
        <f>IFERROR(__xludf.DUMMYFUNCTION("TEXTJOIN("","", TRUE, FILTER($E$2:$E1000 &amp; $C$2:$C1000, $A$2:$A1000=A322, $B$2:$B1000=B322, $D$2:$D1000&lt;&gt;D322))"),"#N/A")</f>
        <v>#N/A</v>
      </c>
    </row>
    <row r="323">
      <c r="J323" s="6"/>
      <c r="K323" s="6"/>
      <c r="N323" s="4" t="str">
        <f>IFERROR(__xludf.DUMMYFUNCTION("TEXTJOIN("","", TRUE, FILTER($E$2:$E1000 &amp; $C$2:$C1000, $A$2:$A1000=A323, $B$2:$B1000=B323, $D$2:$D1000&lt;&gt;D323))"),"#N/A")</f>
        <v>#N/A</v>
      </c>
    </row>
    <row r="324">
      <c r="J324" s="6"/>
      <c r="K324" s="6"/>
      <c r="N324" s="4" t="str">
        <f>IFERROR(__xludf.DUMMYFUNCTION("TEXTJOIN("","", TRUE, FILTER($E$2:$E1000 &amp; $C$2:$C1000, $A$2:$A1000=A324, $B$2:$B1000=B324, $D$2:$D1000&lt;&gt;D324))"),"#N/A")</f>
        <v>#N/A</v>
      </c>
    </row>
    <row r="325">
      <c r="J325" s="6"/>
      <c r="K325" s="6"/>
      <c r="N325" s="4" t="str">
        <f>IFERROR(__xludf.DUMMYFUNCTION("TEXTJOIN("","", TRUE, FILTER($E$2:$E1000 &amp; $C$2:$C1000, $A$2:$A1000=A325, $B$2:$B1000=B325, $D$2:$D1000&lt;&gt;D325))"),"#N/A")</f>
        <v>#N/A</v>
      </c>
    </row>
    <row r="326">
      <c r="J326" s="6"/>
      <c r="K326" s="6"/>
      <c r="N326" s="4" t="str">
        <f>IFERROR(__xludf.DUMMYFUNCTION("TEXTJOIN("","", TRUE, FILTER($E$2:$E1000 &amp; $C$2:$C1000, $A$2:$A1000=A326, $B$2:$B1000=B326, $D$2:$D1000&lt;&gt;D326))"),"#N/A")</f>
        <v>#N/A</v>
      </c>
    </row>
    <row r="327">
      <c r="J327" s="6"/>
      <c r="K327" s="6"/>
      <c r="N327" s="4" t="str">
        <f>IFERROR(__xludf.DUMMYFUNCTION("TEXTJOIN("","", TRUE, FILTER($E$2:$E1000 &amp; $C$2:$C1000, $A$2:$A1000=A327, $B$2:$B1000=B327, $D$2:$D1000&lt;&gt;D327))"),"#N/A")</f>
        <v>#N/A</v>
      </c>
    </row>
    <row r="328">
      <c r="J328" s="6"/>
      <c r="K328" s="6"/>
      <c r="N328" s="4" t="str">
        <f>IFERROR(__xludf.DUMMYFUNCTION("TEXTJOIN("","", TRUE, FILTER($E$2:$E1000 &amp; $C$2:$C1000, $A$2:$A1000=A328, $B$2:$B1000=B328, $D$2:$D1000&lt;&gt;D328))"),"#N/A")</f>
        <v>#N/A</v>
      </c>
    </row>
    <row r="329">
      <c r="J329" s="6"/>
      <c r="K329" s="6"/>
      <c r="N329" s="4" t="str">
        <f>IFERROR(__xludf.DUMMYFUNCTION("TEXTJOIN("","", TRUE, FILTER($E$2:$E1000 &amp; $C$2:$C1000, $A$2:$A1000=A329, $B$2:$B1000=B329, $D$2:$D1000&lt;&gt;D329))"),"#N/A")</f>
        <v>#N/A</v>
      </c>
    </row>
    <row r="330">
      <c r="J330" s="6"/>
      <c r="K330" s="6"/>
      <c r="N330" s="4" t="str">
        <f>IFERROR(__xludf.DUMMYFUNCTION("TEXTJOIN("","", TRUE, FILTER($E$2:$E1000 &amp; $C$2:$C1000, $A$2:$A1000=A330, $B$2:$B1000=B330, $D$2:$D1000&lt;&gt;D330))"),"#N/A")</f>
        <v>#N/A</v>
      </c>
    </row>
    <row r="331">
      <c r="J331" s="6"/>
      <c r="K331" s="6"/>
      <c r="N331" s="4" t="str">
        <f>IFERROR(__xludf.DUMMYFUNCTION("TEXTJOIN("","", TRUE, FILTER($E$2:$E1000 &amp; $C$2:$C1000, $A$2:$A1000=A331, $B$2:$B1000=B331, $D$2:$D1000&lt;&gt;D331))"),"#N/A")</f>
        <v>#N/A</v>
      </c>
    </row>
    <row r="332">
      <c r="J332" s="6"/>
      <c r="K332" s="6"/>
      <c r="N332" s="4" t="str">
        <f>IFERROR(__xludf.DUMMYFUNCTION("TEXTJOIN("","", TRUE, FILTER($E$2:$E1000 &amp; $C$2:$C1000, $A$2:$A1000=A332, $B$2:$B1000=B332, $D$2:$D1000&lt;&gt;D332))"),"#N/A")</f>
        <v>#N/A</v>
      </c>
    </row>
    <row r="333">
      <c r="J333" s="6"/>
      <c r="K333" s="6"/>
      <c r="N333" s="4" t="str">
        <f>IFERROR(__xludf.DUMMYFUNCTION("TEXTJOIN("","", TRUE, FILTER($E$2:$E1000 &amp; $C$2:$C1000, $A$2:$A1000=A333, $B$2:$B1000=B333, $D$2:$D1000&lt;&gt;D333))"),"#N/A")</f>
        <v>#N/A</v>
      </c>
    </row>
    <row r="334">
      <c r="J334" s="6"/>
      <c r="K334" s="6"/>
      <c r="N334" s="4" t="str">
        <f>IFERROR(__xludf.DUMMYFUNCTION("TEXTJOIN("","", TRUE, FILTER($E$2:$E1000 &amp; $C$2:$C1000, $A$2:$A1000=A334, $B$2:$B1000=B334, $D$2:$D1000&lt;&gt;D334))"),"#N/A")</f>
        <v>#N/A</v>
      </c>
    </row>
    <row r="335">
      <c r="J335" s="6"/>
      <c r="K335" s="6"/>
      <c r="N335" s="4" t="str">
        <f>IFERROR(__xludf.DUMMYFUNCTION("TEXTJOIN("","", TRUE, FILTER($E$2:$E1000 &amp; $C$2:$C1000, $A$2:$A1000=A335, $B$2:$B1000=B335, $D$2:$D1000&lt;&gt;D335))"),"#N/A")</f>
        <v>#N/A</v>
      </c>
    </row>
    <row r="336">
      <c r="J336" s="6"/>
      <c r="K336" s="6"/>
      <c r="N336" s="4" t="str">
        <f>IFERROR(__xludf.DUMMYFUNCTION("TEXTJOIN("","", TRUE, FILTER($E$2:$E1000 &amp; $C$2:$C1000, $A$2:$A1000=A336, $B$2:$B1000=B336, $D$2:$D1000&lt;&gt;D336))"),"#N/A")</f>
        <v>#N/A</v>
      </c>
    </row>
    <row r="337">
      <c r="J337" s="6"/>
      <c r="K337" s="6"/>
      <c r="N337" s="4" t="str">
        <f>IFERROR(__xludf.DUMMYFUNCTION("TEXTJOIN("","", TRUE, FILTER($E$2:$E1000 &amp; $C$2:$C1000, $A$2:$A1000=A337, $B$2:$B1000=B337, $D$2:$D1000&lt;&gt;D337))"),"#N/A")</f>
        <v>#N/A</v>
      </c>
    </row>
    <row r="338">
      <c r="J338" s="6"/>
      <c r="K338" s="6"/>
      <c r="N338" s="4" t="str">
        <f>IFERROR(__xludf.DUMMYFUNCTION("TEXTJOIN("","", TRUE, FILTER($E$2:$E1000 &amp; $C$2:$C1000, $A$2:$A1000=A338, $B$2:$B1000=B338, $D$2:$D1000&lt;&gt;D338))"),"#N/A")</f>
        <v>#N/A</v>
      </c>
    </row>
    <row r="339">
      <c r="J339" s="6"/>
      <c r="K339" s="6"/>
      <c r="N339" s="4" t="str">
        <f>IFERROR(__xludf.DUMMYFUNCTION("TEXTJOIN("","", TRUE, FILTER($E$2:$E1000 &amp; $C$2:$C1000, $A$2:$A1000=A339, $B$2:$B1000=B339, $D$2:$D1000&lt;&gt;D339))"),"#N/A")</f>
        <v>#N/A</v>
      </c>
    </row>
    <row r="340">
      <c r="J340" s="6"/>
      <c r="K340" s="6"/>
      <c r="N340" s="4" t="str">
        <f>IFERROR(__xludf.DUMMYFUNCTION("TEXTJOIN("","", TRUE, FILTER($E$2:$E1000 &amp; $C$2:$C1000, $A$2:$A1000=A340, $B$2:$B1000=B340, $D$2:$D1000&lt;&gt;D340))"),"#N/A")</f>
        <v>#N/A</v>
      </c>
    </row>
    <row r="341">
      <c r="J341" s="6"/>
      <c r="K341" s="6"/>
      <c r="N341" s="4" t="str">
        <f>IFERROR(__xludf.DUMMYFUNCTION("TEXTJOIN("","", TRUE, FILTER($E$2:$E1000 &amp; $C$2:$C1000, $A$2:$A1000=A341, $B$2:$B1000=B341, $D$2:$D1000&lt;&gt;D341))"),"#N/A")</f>
        <v>#N/A</v>
      </c>
    </row>
    <row r="342">
      <c r="J342" s="6"/>
      <c r="K342" s="6"/>
      <c r="N342" s="4" t="str">
        <f>IFERROR(__xludf.DUMMYFUNCTION("TEXTJOIN("","", TRUE, FILTER($E$2:$E1000 &amp; $C$2:$C1000, $A$2:$A1000=A342, $B$2:$B1000=B342, $D$2:$D1000&lt;&gt;D342))"),"#N/A")</f>
        <v>#N/A</v>
      </c>
    </row>
    <row r="343">
      <c r="J343" s="6"/>
      <c r="K343" s="6"/>
      <c r="N343" s="4" t="str">
        <f>IFERROR(__xludf.DUMMYFUNCTION("TEXTJOIN("","", TRUE, FILTER($E$2:$E1000 &amp; $C$2:$C1000, $A$2:$A1000=A343, $B$2:$B1000=B343, $D$2:$D1000&lt;&gt;D343))"),"#N/A")</f>
        <v>#N/A</v>
      </c>
    </row>
    <row r="344">
      <c r="J344" s="6"/>
      <c r="K344" s="6"/>
      <c r="N344" s="4" t="str">
        <f>IFERROR(__xludf.DUMMYFUNCTION("TEXTJOIN("","", TRUE, FILTER($E$2:$E1000 &amp; $C$2:$C1000, $A$2:$A1000=A344, $B$2:$B1000=B344, $D$2:$D1000&lt;&gt;D344))"),"#N/A")</f>
        <v>#N/A</v>
      </c>
    </row>
    <row r="345">
      <c r="J345" s="6"/>
      <c r="K345" s="6"/>
      <c r="N345" s="4" t="str">
        <f>IFERROR(__xludf.DUMMYFUNCTION("TEXTJOIN("","", TRUE, FILTER($E$2:$E1000 &amp; $C$2:$C1000, $A$2:$A1000=A345, $B$2:$B1000=B345, $D$2:$D1000&lt;&gt;D345))"),"#N/A")</f>
        <v>#N/A</v>
      </c>
    </row>
    <row r="346">
      <c r="J346" s="6"/>
      <c r="K346" s="6"/>
      <c r="N346" s="4" t="str">
        <f>IFERROR(__xludf.DUMMYFUNCTION("TEXTJOIN("","", TRUE, FILTER($E$2:$E1000 &amp; $C$2:$C1000, $A$2:$A1000=A346, $B$2:$B1000=B346, $D$2:$D1000&lt;&gt;D346))"),"#N/A")</f>
        <v>#N/A</v>
      </c>
    </row>
    <row r="347">
      <c r="J347" s="6"/>
      <c r="K347" s="6"/>
      <c r="N347" s="4" t="str">
        <f>IFERROR(__xludf.DUMMYFUNCTION("TEXTJOIN("","", TRUE, FILTER($E$2:$E1000 &amp; $C$2:$C1000, $A$2:$A1000=A347, $B$2:$B1000=B347, $D$2:$D1000&lt;&gt;D347))"),"#N/A")</f>
        <v>#N/A</v>
      </c>
    </row>
    <row r="348">
      <c r="J348" s="6"/>
      <c r="K348" s="6"/>
      <c r="N348" s="4" t="str">
        <f>IFERROR(__xludf.DUMMYFUNCTION("TEXTJOIN("","", TRUE, FILTER($E$2:$E1000 &amp; $C$2:$C1000, $A$2:$A1000=A348, $B$2:$B1000=B348, $D$2:$D1000&lt;&gt;D348))"),"#N/A")</f>
        <v>#N/A</v>
      </c>
    </row>
    <row r="349">
      <c r="J349" s="6"/>
      <c r="K349" s="6"/>
      <c r="N349" s="4" t="str">
        <f>IFERROR(__xludf.DUMMYFUNCTION("TEXTJOIN("","", TRUE, FILTER($E$2:$E1000 &amp; $C$2:$C1000, $A$2:$A1000=A349, $B$2:$B1000=B349, $D$2:$D1000&lt;&gt;D349))"),"#N/A")</f>
        <v>#N/A</v>
      </c>
    </row>
    <row r="350">
      <c r="J350" s="6"/>
      <c r="K350" s="6"/>
      <c r="N350" s="4" t="str">
        <f>IFERROR(__xludf.DUMMYFUNCTION("TEXTJOIN("","", TRUE, FILTER($E$2:$E1000 &amp; $C$2:$C1000, $A$2:$A1000=A350, $B$2:$B1000=B350, $D$2:$D1000&lt;&gt;D350))"),"#N/A")</f>
        <v>#N/A</v>
      </c>
    </row>
    <row r="351">
      <c r="J351" s="6"/>
      <c r="K351" s="6"/>
      <c r="N351" s="4" t="str">
        <f>IFERROR(__xludf.DUMMYFUNCTION("TEXTJOIN("","", TRUE, FILTER($E$2:$E1000 &amp; $C$2:$C1000, $A$2:$A1000=A351, $B$2:$B1000=B351, $D$2:$D1000&lt;&gt;D351))"),"#N/A")</f>
        <v>#N/A</v>
      </c>
    </row>
    <row r="352">
      <c r="J352" s="6"/>
      <c r="K352" s="6"/>
      <c r="N352" s="4" t="str">
        <f>IFERROR(__xludf.DUMMYFUNCTION("TEXTJOIN("","", TRUE, FILTER($E$2:$E1000 &amp; $C$2:$C1000, $A$2:$A1000=A352, $B$2:$B1000=B352, $D$2:$D1000&lt;&gt;D352))"),"#N/A")</f>
        <v>#N/A</v>
      </c>
    </row>
    <row r="353">
      <c r="J353" s="6"/>
      <c r="K353" s="6"/>
      <c r="N353" s="4" t="str">
        <f>IFERROR(__xludf.DUMMYFUNCTION("TEXTJOIN("","", TRUE, FILTER($E$2:$E1000 &amp; $C$2:$C1000, $A$2:$A1000=A353, $B$2:$B1000=B353, $D$2:$D1000&lt;&gt;D353))"),"#N/A")</f>
        <v>#N/A</v>
      </c>
    </row>
    <row r="354">
      <c r="J354" s="6"/>
      <c r="K354" s="6"/>
      <c r="N354" s="4" t="str">
        <f>IFERROR(__xludf.DUMMYFUNCTION("TEXTJOIN("","", TRUE, FILTER($E$2:$E1000 &amp; $C$2:$C1000, $A$2:$A1000=A354, $B$2:$B1000=B354, $D$2:$D1000&lt;&gt;D354))"),"#N/A")</f>
        <v>#N/A</v>
      </c>
    </row>
    <row r="355">
      <c r="J355" s="6"/>
      <c r="K355" s="6"/>
      <c r="N355" s="4" t="str">
        <f>IFERROR(__xludf.DUMMYFUNCTION("TEXTJOIN("","", TRUE, FILTER($E$2:$E1000 &amp; $C$2:$C1000, $A$2:$A1000=A355, $B$2:$B1000=B355, $D$2:$D1000&lt;&gt;D355))"),"#N/A")</f>
        <v>#N/A</v>
      </c>
    </row>
    <row r="356">
      <c r="J356" s="6"/>
      <c r="K356" s="6"/>
      <c r="N356" s="4" t="str">
        <f>IFERROR(__xludf.DUMMYFUNCTION("TEXTJOIN("","", TRUE, FILTER($E$2:$E1000 &amp; $C$2:$C1000, $A$2:$A1000=A356, $B$2:$B1000=B356, $D$2:$D1000&lt;&gt;D356))"),"#N/A")</f>
        <v>#N/A</v>
      </c>
    </row>
    <row r="357">
      <c r="J357" s="6"/>
      <c r="K357" s="6"/>
      <c r="N357" s="4" t="str">
        <f>IFERROR(__xludf.DUMMYFUNCTION("TEXTJOIN("","", TRUE, FILTER($E$2:$E1000 &amp; $C$2:$C1000, $A$2:$A1000=A357, $B$2:$B1000=B357, $D$2:$D1000&lt;&gt;D357))"),"#N/A")</f>
        <v>#N/A</v>
      </c>
    </row>
    <row r="358">
      <c r="J358" s="6"/>
      <c r="K358" s="6"/>
      <c r="N358" s="4" t="str">
        <f>IFERROR(__xludf.DUMMYFUNCTION("TEXTJOIN("","", TRUE, FILTER($E$2:$E1000 &amp; $C$2:$C1000, $A$2:$A1000=A358, $B$2:$B1000=B358, $D$2:$D1000&lt;&gt;D358))"),"#N/A")</f>
        <v>#N/A</v>
      </c>
    </row>
    <row r="359">
      <c r="J359" s="6"/>
      <c r="K359" s="6"/>
      <c r="N359" s="4" t="str">
        <f>IFERROR(__xludf.DUMMYFUNCTION("TEXTJOIN("","", TRUE, FILTER($E$2:$E1000 &amp; $C$2:$C1000, $A$2:$A1000=A359, $B$2:$B1000=B359, $D$2:$D1000&lt;&gt;D359))"),"#N/A")</f>
        <v>#N/A</v>
      </c>
    </row>
    <row r="360">
      <c r="J360" s="6"/>
      <c r="K360" s="6"/>
      <c r="N360" s="4" t="str">
        <f>IFERROR(__xludf.DUMMYFUNCTION("TEXTJOIN("","", TRUE, FILTER($E$2:$E1000 &amp; $C$2:$C1000, $A$2:$A1000=A360, $B$2:$B1000=B360, $D$2:$D1000&lt;&gt;D360))"),"#N/A")</f>
        <v>#N/A</v>
      </c>
    </row>
    <row r="361">
      <c r="J361" s="6"/>
      <c r="K361" s="6"/>
      <c r="N361" s="4" t="str">
        <f>IFERROR(__xludf.DUMMYFUNCTION("TEXTJOIN("","", TRUE, FILTER($E$2:$E1000 &amp; $C$2:$C1000, $A$2:$A1000=A361, $B$2:$B1000=B361, $D$2:$D1000&lt;&gt;D361))"),"#N/A")</f>
        <v>#N/A</v>
      </c>
    </row>
    <row r="362">
      <c r="J362" s="6"/>
      <c r="K362" s="6"/>
      <c r="N362" s="4" t="str">
        <f>IFERROR(__xludf.DUMMYFUNCTION("TEXTJOIN("","", TRUE, FILTER($E$2:$E1000 &amp; $C$2:$C1000, $A$2:$A1000=A362, $B$2:$B1000=B362, $D$2:$D1000&lt;&gt;D362))"),"#N/A")</f>
        <v>#N/A</v>
      </c>
    </row>
    <row r="363">
      <c r="J363" s="6"/>
      <c r="K363" s="6"/>
      <c r="N363" s="4" t="str">
        <f>IFERROR(__xludf.DUMMYFUNCTION("TEXTJOIN("","", TRUE, FILTER($E$2:$E1000 &amp; $C$2:$C1000, $A$2:$A1000=A363, $B$2:$B1000=B363, $D$2:$D1000&lt;&gt;D363))"),"#N/A")</f>
        <v>#N/A</v>
      </c>
    </row>
    <row r="364">
      <c r="J364" s="6"/>
      <c r="K364" s="6"/>
      <c r="N364" s="4" t="str">
        <f>IFERROR(__xludf.DUMMYFUNCTION("TEXTJOIN("","", TRUE, FILTER($E$2:$E1000 &amp; $C$2:$C1000, $A$2:$A1000=A364, $B$2:$B1000=B364, $D$2:$D1000&lt;&gt;D364))"),"#N/A")</f>
        <v>#N/A</v>
      </c>
    </row>
    <row r="365">
      <c r="J365" s="6"/>
      <c r="K365" s="6"/>
      <c r="N365" s="4" t="str">
        <f>IFERROR(__xludf.DUMMYFUNCTION("TEXTJOIN("","", TRUE, FILTER($E$2:$E1000 &amp; $C$2:$C1000, $A$2:$A1000=A365, $B$2:$B1000=B365, $D$2:$D1000&lt;&gt;D365))"),"#N/A")</f>
        <v>#N/A</v>
      </c>
    </row>
    <row r="366">
      <c r="J366" s="6"/>
      <c r="K366" s="6"/>
      <c r="N366" s="4" t="str">
        <f>IFERROR(__xludf.DUMMYFUNCTION("TEXTJOIN("","", TRUE, FILTER($E$2:$E1000 &amp; $C$2:$C1000, $A$2:$A1000=A366, $B$2:$B1000=B366, $D$2:$D1000&lt;&gt;D366))"),"#N/A")</f>
        <v>#N/A</v>
      </c>
    </row>
    <row r="367">
      <c r="J367" s="6"/>
      <c r="K367" s="6"/>
      <c r="N367" s="4" t="str">
        <f>IFERROR(__xludf.DUMMYFUNCTION("TEXTJOIN("","", TRUE, FILTER($E$2:$E1000 &amp; $C$2:$C1000, $A$2:$A1000=A367, $B$2:$B1000=B367, $D$2:$D1000&lt;&gt;D367))"),"#N/A")</f>
        <v>#N/A</v>
      </c>
    </row>
    <row r="368">
      <c r="J368" s="6"/>
      <c r="K368" s="6"/>
      <c r="N368" s="4" t="str">
        <f>IFERROR(__xludf.DUMMYFUNCTION("TEXTJOIN("","", TRUE, FILTER($E$2:$E1000 &amp; $C$2:$C1000, $A$2:$A1000=A368, $B$2:$B1000=B368, $D$2:$D1000&lt;&gt;D368))"),"#N/A")</f>
        <v>#N/A</v>
      </c>
    </row>
    <row r="369">
      <c r="J369" s="6"/>
      <c r="K369" s="6"/>
      <c r="N369" s="4" t="str">
        <f>IFERROR(__xludf.DUMMYFUNCTION("TEXTJOIN("","", TRUE, FILTER($E$2:$E1000 &amp; $C$2:$C1000, $A$2:$A1000=A369, $B$2:$B1000=B369, $D$2:$D1000&lt;&gt;D369))"),"#N/A")</f>
        <v>#N/A</v>
      </c>
    </row>
    <row r="370">
      <c r="J370" s="6"/>
      <c r="K370" s="6"/>
      <c r="N370" s="4" t="str">
        <f>IFERROR(__xludf.DUMMYFUNCTION("TEXTJOIN("","", TRUE, FILTER($E$2:$E1000 &amp; $C$2:$C1000, $A$2:$A1000=A370, $B$2:$B1000=B370, $D$2:$D1000&lt;&gt;D370))"),"#N/A")</f>
        <v>#N/A</v>
      </c>
    </row>
    <row r="371">
      <c r="J371" s="6"/>
      <c r="K371" s="6"/>
      <c r="N371" s="4" t="str">
        <f>IFERROR(__xludf.DUMMYFUNCTION("TEXTJOIN("","", TRUE, FILTER($E$2:$E1000 &amp; $C$2:$C1000, $A$2:$A1000=A371, $B$2:$B1000=B371, $D$2:$D1000&lt;&gt;D371))"),"#N/A")</f>
        <v>#N/A</v>
      </c>
    </row>
    <row r="372">
      <c r="J372" s="6"/>
      <c r="K372" s="6"/>
      <c r="N372" s="4" t="str">
        <f>IFERROR(__xludf.DUMMYFUNCTION("TEXTJOIN("","", TRUE, FILTER($E$2:$E1000 &amp; $C$2:$C1000, $A$2:$A1000=A372, $B$2:$B1000=B372, $D$2:$D1000&lt;&gt;D372))"),"#N/A")</f>
        <v>#N/A</v>
      </c>
    </row>
    <row r="373">
      <c r="J373" s="6"/>
      <c r="K373" s="6"/>
      <c r="N373" s="4" t="str">
        <f>IFERROR(__xludf.DUMMYFUNCTION("TEXTJOIN("","", TRUE, FILTER($E$2:$E1000 &amp; $C$2:$C1000, $A$2:$A1000=A373, $B$2:$B1000=B373, $D$2:$D1000&lt;&gt;D373))"),"#N/A")</f>
        <v>#N/A</v>
      </c>
    </row>
    <row r="374">
      <c r="J374" s="6"/>
      <c r="K374" s="6"/>
      <c r="N374" s="4" t="str">
        <f>IFERROR(__xludf.DUMMYFUNCTION("TEXTJOIN("","", TRUE, FILTER($E$2:$E1000 &amp; $C$2:$C1000, $A$2:$A1000=A374, $B$2:$B1000=B374, $D$2:$D1000&lt;&gt;D374))"),"#N/A")</f>
        <v>#N/A</v>
      </c>
    </row>
    <row r="375">
      <c r="J375" s="6"/>
      <c r="K375" s="6"/>
      <c r="N375" s="4" t="str">
        <f>IFERROR(__xludf.DUMMYFUNCTION("TEXTJOIN("","", TRUE, FILTER($E$2:$E1000 &amp; $C$2:$C1000, $A$2:$A1000=A375, $B$2:$B1000=B375, $D$2:$D1000&lt;&gt;D375))"),"#N/A")</f>
        <v>#N/A</v>
      </c>
    </row>
    <row r="376">
      <c r="J376" s="6"/>
      <c r="K376" s="6"/>
      <c r="N376" s="4" t="str">
        <f>IFERROR(__xludf.DUMMYFUNCTION("TEXTJOIN("","", TRUE, FILTER($E$2:$E1000 &amp; $C$2:$C1000, $A$2:$A1000=A376, $B$2:$B1000=B376, $D$2:$D1000&lt;&gt;D376))"),"#N/A")</f>
        <v>#N/A</v>
      </c>
    </row>
    <row r="377">
      <c r="J377" s="6"/>
      <c r="K377" s="6"/>
      <c r="N377" s="4" t="str">
        <f>IFERROR(__xludf.DUMMYFUNCTION("TEXTJOIN("","", TRUE, FILTER($E$2:$E1000 &amp; $C$2:$C1000, $A$2:$A1000=A377, $B$2:$B1000=B377, $D$2:$D1000&lt;&gt;D377))"),"#N/A")</f>
        <v>#N/A</v>
      </c>
    </row>
    <row r="378">
      <c r="J378" s="6"/>
      <c r="K378" s="6"/>
      <c r="N378" s="4" t="str">
        <f>IFERROR(__xludf.DUMMYFUNCTION("TEXTJOIN("","", TRUE, FILTER($E$2:$E1000 &amp; $C$2:$C1000, $A$2:$A1000=A378, $B$2:$B1000=B378, $D$2:$D1000&lt;&gt;D378))"),"#N/A")</f>
        <v>#N/A</v>
      </c>
    </row>
    <row r="379">
      <c r="J379" s="6"/>
      <c r="K379" s="6"/>
      <c r="N379" s="4" t="str">
        <f>IFERROR(__xludf.DUMMYFUNCTION("TEXTJOIN("","", TRUE, FILTER($E$2:$E1000 &amp; $C$2:$C1000, $A$2:$A1000=A379, $B$2:$B1000=B379, $D$2:$D1000&lt;&gt;D379))"),"#N/A")</f>
        <v>#N/A</v>
      </c>
    </row>
    <row r="380">
      <c r="J380" s="6"/>
      <c r="K380" s="6"/>
      <c r="N380" s="4" t="str">
        <f>IFERROR(__xludf.DUMMYFUNCTION("TEXTJOIN("","", TRUE, FILTER($E$2:$E1000 &amp; $C$2:$C1000, $A$2:$A1000=A380, $B$2:$B1000=B380, $D$2:$D1000&lt;&gt;D380))"),"#N/A")</f>
        <v>#N/A</v>
      </c>
    </row>
    <row r="381">
      <c r="J381" s="6"/>
      <c r="K381" s="6"/>
      <c r="N381" s="4" t="str">
        <f>IFERROR(__xludf.DUMMYFUNCTION("TEXTJOIN("","", TRUE, FILTER($E$2:$E1000 &amp; $C$2:$C1000, $A$2:$A1000=A381, $B$2:$B1000=B381, $D$2:$D1000&lt;&gt;D381))"),"#N/A")</f>
        <v>#N/A</v>
      </c>
    </row>
    <row r="382">
      <c r="J382" s="6"/>
      <c r="K382" s="6"/>
      <c r="N382" s="4" t="str">
        <f>IFERROR(__xludf.DUMMYFUNCTION("TEXTJOIN("","", TRUE, FILTER($E$2:$E1000 &amp; $C$2:$C1000, $A$2:$A1000=A382, $B$2:$B1000=B382, $D$2:$D1000&lt;&gt;D382))"),"#N/A")</f>
        <v>#N/A</v>
      </c>
    </row>
    <row r="383">
      <c r="J383" s="6"/>
      <c r="K383" s="6"/>
      <c r="N383" s="4" t="str">
        <f>IFERROR(__xludf.DUMMYFUNCTION("TEXTJOIN("","", TRUE, FILTER($E$2:$E1000 &amp; $C$2:$C1000, $A$2:$A1000=A383, $B$2:$B1000=B383, $D$2:$D1000&lt;&gt;D383))"),"#N/A")</f>
        <v>#N/A</v>
      </c>
    </row>
    <row r="384">
      <c r="J384" s="6"/>
      <c r="K384" s="6"/>
      <c r="N384" s="4" t="str">
        <f>IFERROR(__xludf.DUMMYFUNCTION("TEXTJOIN("","", TRUE, FILTER($E$2:$E1000 &amp; $C$2:$C1000, $A$2:$A1000=A384, $B$2:$B1000=B384, $D$2:$D1000&lt;&gt;D384))"),"#N/A")</f>
        <v>#N/A</v>
      </c>
    </row>
    <row r="385">
      <c r="J385" s="6"/>
      <c r="K385" s="6"/>
      <c r="N385" s="4" t="str">
        <f>IFERROR(__xludf.DUMMYFUNCTION("TEXTJOIN("","", TRUE, FILTER($E$2:$E1000 &amp; $C$2:$C1000, $A$2:$A1000=A385, $B$2:$B1000=B385, $D$2:$D1000&lt;&gt;D385))"),"#N/A")</f>
        <v>#N/A</v>
      </c>
    </row>
    <row r="386">
      <c r="J386" s="6"/>
      <c r="K386" s="6"/>
      <c r="N386" s="4" t="str">
        <f>IFERROR(__xludf.DUMMYFUNCTION("TEXTJOIN("","", TRUE, FILTER($E$2:$E1000 &amp; $C$2:$C1000, $A$2:$A1000=A386, $B$2:$B1000=B386, $D$2:$D1000&lt;&gt;D386))"),"#N/A")</f>
        <v>#N/A</v>
      </c>
    </row>
    <row r="387">
      <c r="J387" s="6"/>
      <c r="K387" s="6"/>
      <c r="N387" s="4" t="str">
        <f>IFERROR(__xludf.DUMMYFUNCTION("TEXTJOIN("","", TRUE, FILTER($E$2:$E1000 &amp; $C$2:$C1000, $A$2:$A1000=A387, $B$2:$B1000=B387, $D$2:$D1000&lt;&gt;D387))"),"#N/A")</f>
        <v>#N/A</v>
      </c>
    </row>
    <row r="388">
      <c r="J388" s="6"/>
      <c r="K388" s="6"/>
      <c r="N388" s="4" t="str">
        <f>IFERROR(__xludf.DUMMYFUNCTION("TEXTJOIN("","", TRUE, FILTER($E$2:$E1000 &amp; $C$2:$C1000, $A$2:$A1000=A388, $B$2:$B1000=B388, $D$2:$D1000&lt;&gt;D388))"),"#N/A")</f>
        <v>#N/A</v>
      </c>
    </row>
    <row r="389">
      <c r="J389" s="6"/>
      <c r="K389" s="6"/>
      <c r="N389" s="4" t="str">
        <f>IFERROR(__xludf.DUMMYFUNCTION("TEXTJOIN("","", TRUE, FILTER($E$2:$E1000 &amp; $C$2:$C1000, $A$2:$A1000=A389, $B$2:$B1000=B389, $D$2:$D1000&lt;&gt;D389))"),"#N/A")</f>
        <v>#N/A</v>
      </c>
    </row>
    <row r="390">
      <c r="J390" s="6"/>
      <c r="K390" s="6"/>
      <c r="N390" s="4" t="str">
        <f>IFERROR(__xludf.DUMMYFUNCTION("TEXTJOIN("","", TRUE, FILTER($E$2:$E1000 &amp; $C$2:$C1000, $A$2:$A1000=A390, $B$2:$B1000=B390, $D$2:$D1000&lt;&gt;D390))"),"#N/A")</f>
        <v>#N/A</v>
      </c>
    </row>
    <row r="391">
      <c r="J391" s="6"/>
      <c r="K391" s="6"/>
      <c r="N391" s="4" t="str">
        <f>IFERROR(__xludf.DUMMYFUNCTION("TEXTJOIN("","", TRUE, FILTER($E$2:$E1000 &amp; $C$2:$C1000, $A$2:$A1000=A391, $B$2:$B1000=B391, $D$2:$D1000&lt;&gt;D391))"),"#N/A")</f>
        <v>#N/A</v>
      </c>
    </row>
    <row r="392">
      <c r="J392" s="6"/>
      <c r="K392" s="6"/>
      <c r="N392" s="4" t="str">
        <f>IFERROR(__xludf.DUMMYFUNCTION("TEXTJOIN("","", TRUE, FILTER($E$2:$E1000 &amp; $C$2:$C1000, $A$2:$A1000=A392, $B$2:$B1000=B392, $D$2:$D1000&lt;&gt;D392))"),"#N/A")</f>
        <v>#N/A</v>
      </c>
    </row>
    <row r="393">
      <c r="J393" s="6"/>
      <c r="K393" s="6"/>
      <c r="N393" s="4" t="str">
        <f>IFERROR(__xludf.DUMMYFUNCTION("TEXTJOIN("","", TRUE, FILTER($E$2:$E1000 &amp; $C$2:$C1000, $A$2:$A1000=A393, $B$2:$B1000=B393, $D$2:$D1000&lt;&gt;D393))"),"#N/A")</f>
        <v>#N/A</v>
      </c>
    </row>
    <row r="394">
      <c r="J394" s="6"/>
      <c r="K394" s="6"/>
      <c r="N394" s="4" t="str">
        <f>IFERROR(__xludf.DUMMYFUNCTION("TEXTJOIN("","", TRUE, FILTER($E$2:$E1000 &amp; $C$2:$C1000, $A$2:$A1000=A394, $B$2:$B1000=B394, $D$2:$D1000&lt;&gt;D394))"),"#N/A")</f>
        <v>#N/A</v>
      </c>
    </row>
    <row r="395">
      <c r="J395" s="6"/>
      <c r="K395" s="6"/>
      <c r="N395" s="4" t="str">
        <f>IFERROR(__xludf.DUMMYFUNCTION("TEXTJOIN("","", TRUE, FILTER($E$2:$E1000 &amp; $C$2:$C1000, $A$2:$A1000=A395, $B$2:$B1000=B395, $D$2:$D1000&lt;&gt;D395))"),"#N/A")</f>
        <v>#N/A</v>
      </c>
    </row>
    <row r="396">
      <c r="J396" s="6"/>
      <c r="K396" s="6"/>
      <c r="N396" s="4" t="str">
        <f>IFERROR(__xludf.DUMMYFUNCTION("TEXTJOIN("","", TRUE, FILTER($E$2:$E1000 &amp; $C$2:$C1000, $A$2:$A1000=A396, $B$2:$B1000=B396, $D$2:$D1000&lt;&gt;D396))"),"#N/A")</f>
        <v>#N/A</v>
      </c>
    </row>
    <row r="397">
      <c r="J397" s="6"/>
      <c r="K397" s="6"/>
      <c r="N397" s="4" t="str">
        <f>IFERROR(__xludf.DUMMYFUNCTION("TEXTJOIN("","", TRUE, FILTER($E$2:$E1000 &amp; $C$2:$C1000, $A$2:$A1000=A397, $B$2:$B1000=B397, $D$2:$D1000&lt;&gt;D397))"),"#N/A")</f>
        <v>#N/A</v>
      </c>
    </row>
    <row r="398">
      <c r="J398" s="6"/>
      <c r="K398" s="6"/>
      <c r="N398" s="4" t="str">
        <f>IFERROR(__xludf.DUMMYFUNCTION("TEXTJOIN("","", TRUE, FILTER($E$2:$E1000 &amp; $C$2:$C1000, $A$2:$A1000=A398, $B$2:$B1000=B398, $D$2:$D1000&lt;&gt;D398))"),"#N/A")</f>
        <v>#N/A</v>
      </c>
    </row>
    <row r="399">
      <c r="J399" s="6"/>
      <c r="K399" s="6"/>
      <c r="N399" s="4" t="str">
        <f>IFERROR(__xludf.DUMMYFUNCTION("TEXTJOIN("","", TRUE, FILTER($E$2:$E1000 &amp; $C$2:$C1000, $A$2:$A1000=A399, $B$2:$B1000=B399, $D$2:$D1000&lt;&gt;D399))"),"#N/A")</f>
        <v>#N/A</v>
      </c>
    </row>
    <row r="400">
      <c r="J400" s="6"/>
      <c r="K400" s="6"/>
      <c r="N400" s="4" t="str">
        <f>IFERROR(__xludf.DUMMYFUNCTION("TEXTJOIN("","", TRUE, FILTER($E$2:$E1000 &amp; $C$2:$C1000, $A$2:$A1000=A400, $B$2:$B1000=B400, $D$2:$D1000&lt;&gt;D400))"),"#N/A")</f>
        <v>#N/A</v>
      </c>
    </row>
    <row r="401">
      <c r="J401" s="6"/>
      <c r="K401" s="6"/>
      <c r="N401" s="4" t="str">
        <f>IFERROR(__xludf.DUMMYFUNCTION("TEXTJOIN("","", TRUE, FILTER($E$2:$E1000 &amp; $C$2:$C1000, $A$2:$A1000=A401, $B$2:$B1000=B401, $D$2:$D1000&lt;&gt;D401))"),"#N/A")</f>
        <v>#N/A</v>
      </c>
    </row>
    <row r="402">
      <c r="J402" s="6"/>
      <c r="K402" s="6"/>
      <c r="N402" s="4" t="str">
        <f>IFERROR(__xludf.DUMMYFUNCTION("TEXTJOIN("","", TRUE, FILTER($E$2:$E1000 &amp; $C$2:$C1000, $A$2:$A1000=A402, $B$2:$B1000=B402, $D$2:$D1000&lt;&gt;D402))"),"#N/A")</f>
        <v>#N/A</v>
      </c>
    </row>
    <row r="403">
      <c r="J403" s="6"/>
      <c r="K403" s="6"/>
      <c r="N403" s="4" t="str">
        <f>IFERROR(__xludf.DUMMYFUNCTION("TEXTJOIN("","", TRUE, FILTER($E$2:$E1000 &amp; $C$2:$C1000, $A$2:$A1000=A403, $B$2:$B1000=B403, $D$2:$D1000&lt;&gt;D403))"),"#N/A")</f>
        <v>#N/A</v>
      </c>
    </row>
    <row r="404">
      <c r="J404" s="6"/>
      <c r="K404" s="6"/>
      <c r="N404" s="4" t="str">
        <f>IFERROR(__xludf.DUMMYFUNCTION("TEXTJOIN("","", TRUE, FILTER($E$2:$E1000 &amp; $C$2:$C1000, $A$2:$A1000=A404, $B$2:$B1000=B404, $D$2:$D1000&lt;&gt;D404))"),"#N/A")</f>
        <v>#N/A</v>
      </c>
    </row>
    <row r="405">
      <c r="J405" s="6"/>
      <c r="K405" s="6"/>
      <c r="N405" s="4" t="str">
        <f>IFERROR(__xludf.DUMMYFUNCTION("TEXTJOIN("","", TRUE, FILTER($E$2:$E1000 &amp; $C$2:$C1000, $A$2:$A1000=A405, $B$2:$B1000=B405, $D$2:$D1000&lt;&gt;D405))"),"#N/A")</f>
        <v>#N/A</v>
      </c>
    </row>
    <row r="406">
      <c r="J406" s="6"/>
      <c r="K406" s="6"/>
      <c r="N406" s="4" t="str">
        <f>IFERROR(__xludf.DUMMYFUNCTION("TEXTJOIN("","", TRUE, FILTER($E$2:$E1000 &amp; $C$2:$C1000, $A$2:$A1000=A406, $B$2:$B1000=B406, $D$2:$D1000&lt;&gt;D406))"),"#N/A")</f>
        <v>#N/A</v>
      </c>
    </row>
    <row r="407">
      <c r="J407" s="6"/>
      <c r="K407" s="6"/>
      <c r="N407" s="4" t="str">
        <f>IFERROR(__xludf.DUMMYFUNCTION("TEXTJOIN("","", TRUE, FILTER($E$2:$E1000 &amp; $C$2:$C1000, $A$2:$A1000=A407, $B$2:$B1000=B407, $D$2:$D1000&lt;&gt;D407))"),"#N/A")</f>
        <v>#N/A</v>
      </c>
    </row>
    <row r="408">
      <c r="J408" s="6"/>
      <c r="K408" s="6"/>
      <c r="N408" s="4" t="str">
        <f>IFERROR(__xludf.DUMMYFUNCTION("TEXTJOIN("","", TRUE, FILTER($E$2:$E1000 &amp; $C$2:$C1000, $A$2:$A1000=A408, $B$2:$B1000=B408, $D$2:$D1000&lt;&gt;D408))"),"#N/A")</f>
        <v>#N/A</v>
      </c>
    </row>
    <row r="409">
      <c r="J409" s="6"/>
      <c r="K409" s="6"/>
      <c r="N409" s="4" t="str">
        <f>IFERROR(__xludf.DUMMYFUNCTION("TEXTJOIN("","", TRUE, FILTER($E$2:$E1000 &amp; $C$2:$C1000, $A$2:$A1000=A409, $B$2:$B1000=B409, $D$2:$D1000&lt;&gt;D409))"),"#N/A")</f>
        <v>#N/A</v>
      </c>
    </row>
    <row r="410">
      <c r="J410" s="6"/>
      <c r="K410" s="6"/>
      <c r="N410" s="4" t="str">
        <f>IFERROR(__xludf.DUMMYFUNCTION("TEXTJOIN("","", TRUE, FILTER($E$2:$E1000 &amp; $C$2:$C1000, $A$2:$A1000=A410, $B$2:$B1000=B410, $D$2:$D1000&lt;&gt;D410))"),"#N/A")</f>
        <v>#N/A</v>
      </c>
    </row>
    <row r="411">
      <c r="J411" s="6"/>
      <c r="K411" s="6"/>
      <c r="N411" s="4" t="str">
        <f>IFERROR(__xludf.DUMMYFUNCTION("TEXTJOIN("","", TRUE, FILTER($E$2:$E1000 &amp; $C$2:$C1000, $A$2:$A1000=A411, $B$2:$B1000=B411, $D$2:$D1000&lt;&gt;D411))"),"#N/A")</f>
        <v>#N/A</v>
      </c>
    </row>
    <row r="412">
      <c r="J412" s="6"/>
      <c r="K412" s="6"/>
      <c r="N412" s="4" t="str">
        <f>IFERROR(__xludf.DUMMYFUNCTION("TEXTJOIN("","", TRUE, FILTER($E$2:$E1000 &amp; $C$2:$C1000, $A$2:$A1000=A412, $B$2:$B1000=B412, $D$2:$D1000&lt;&gt;D412))"),"#N/A")</f>
        <v>#N/A</v>
      </c>
    </row>
    <row r="413">
      <c r="J413" s="6"/>
      <c r="K413" s="6"/>
      <c r="N413" s="4" t="str">
        <f>IFERROR(__xludf.DUMMYFUNCTION("TEXTJOIN("","", TRUE, FILTER($E$2:$E1000 &amp; $C$2:$C1000, $A$2:$A1000=A413, $B$2:$B1000=B413, $D$2:$D1000&lt;&gt;D413))"),"#N/A")</f>
        <v>#N/A</v>
      </c>
    </row>
    <row r="414">
      <c r="J414" s="6"/>
      <c r="K414" s="6"/>
      <c r="N414" s="4" t="str">
        <f>IFERROR(__xludf.DUMMYFUNCTION("TEXTJOIN("","", TRUE, FILTER($E$2:$E1000 &amp; $C$2:$C1000, $A$2:$A1000=A414, $B$2:$B1000=B414, $D$2:$D1000&lt;&gt;D414))"),"#N/A")</f>
        <v>#N/A</v>
      </c>
    </row>
    <row r="415">
      <c r="J415" s="6"/>
      <c r="K415" s="6"/>
      <c r="N415" s="4" t="str">
        <f>IFERROR(__xludf.DUMMYFUNCTION("TEXTJOIN("","", TRUE, FILTER($E$2:$E1000 &amp; $C$2:$C1000, $A$2:$A1000=A415, $B$2:$B1000=B415, $D$2:$D1000&lt;&gt;D415))"),"#N/A")</f>
        <v>#N/A</v>
      </c>
    </row>
    <row r="416">
      <c r="J416" s="6"/>
      <c r="K416" s="6"/>
      <c r="N416" s="4" t="str">
        <f>IFERROR(__xludf.DUMMYFUNCTION("TEXTJOIN("","", TRUE, FILTER($E$2:$E1000 &amp; $C$2:$C1000, $A$2:$A1000=A416, $B$2:$B1000=B416, $D$2:$D1000&lt;&gt;D416))"),"#N/A")</f>
        <v>#N/A</v>
      </c>
    </row>
    <row r="417">
      <c r="J417" s="6"/>
      <c r="K417" s="6"/>
      <c r="N417" s="4" t="str">
        <f>IFERROR(__xludf.DUMMYFUNCTION("TEXTJOIN("","", TRUE, FILTER($E$2:$E1000 &amp; $C$2:$C1000, $A$2:$A1000=A417, $B$2:$B1000=B417, $D$2:$D1000&lt;&gt;D417))"),"#N/A")</f>
        <v>#N/A</v>
      </c>
    </row>
    <row r="418">
      <c r="J418" s="6"/>
      <c r="K418" s="6"/>
      <c r="N418" s="4" t="str">
        <f>IFERROR(__xludf.DUMMYFUNCTION("TEXTJOIN("","", TRUE, FILTER($E$2:$E1000 &amp; $C$2:$C1000, $A$2:$A1000=A418, $B$2:$B1000=B418, $D$2:$D1000&lt;&gt;D418))"),"#N/A")</f>
        <v>#N/A</v>
      </c>
    </row>
    <row r="419">
      <c r="J419" s="6"/>
      <c r="K419" s="6"/>
      <c r="N419" s="4" t="str">
        <f>IFERROR(__xludf.DUMMYFUNCTION("TEXTJOIN("","", TRUE, FILTER($E$2:$E1000 &amp; $C$2:$C1000, $A$2:$A1000=A419, $B$2:$B1000=B419, $D$2:$D1000&lt;&gt;D419))"),"#N/A")</f>
        <v>#N/A</v>
      </c>
    </row>
    <row r="420">
      <c r="J420" s="6"/>
      <c r="K420" s="6"/>
      <c r="N420" s="4" t="str">
        <f>IFERROR(__xludf.DUMMYFUNCTION("TEXTJOIN("","", TRUE, FILTER($E$2:$E1000 &amp; $C$2:$C1000, $A$2:$A1000=A420, $B$2:$B1000=B420, $D$2:$D1000&lt;&gt;D420))"),"#N/A")</f>
        <v>#N/A</v>
      </c>
    </row>
    <row r="421">
      <c r="J421" s="6"/>
      <c r="K421" s="6"/>
      <c r="N421" s="4" t="str">
        <f>IFERROR(__xludf.DUMMYFUNCTION("TEXTJOIN("","", TRUE, FILTER($E$2:$E1000 &amp; $C$2:$C1000, $A$2:$A1000=A421, $B$2:$B1000=B421, $D$2:$D1000&lt;&gt;D421))"),"#N/A")</f>
        <v>#N/A</v>
      </c>
    </row>
    <row r="422">
      <c r="J422" s="6"/>
      <c r="K422" s="6"/>
      <c r="N422" s="4" t="str">
        <f>IFERROR(__xludf.DUMMYFUNCTION("TEXTJOIN("","", TRUE, FILTER($E$2:$E1000 &amp; $C$2:$C1000, $A$2:$A1000=A422, $B$2:$B1000=B422, $D$2:$D1000&lt;&gt;D422))"),"#N/A")</f>
        <v>#N/A</v>
      </c>
    </row>
    <row r="423">
      <c r="J423" s="6"/>
      <c r="K423" s="6"/>
      <c r="N423" s="4" t="str">
        <f>IFERROR(__xludf.DUMMYFUNCTION("TEXTJOIN("","", TRUE, FILTER($E$2:$E1000 &amp; $C$2:$C1000, $A$2:$A1000=A423, $B$2:$B1000=B423, $D$2:$D1000&lt;&gt;D423))"),"#N/A")</f>
        <v>#N/A</v>
      </c>
    </row>
    <row r="424">
      <c r="J424" s="6"/>
      <c r="K424" s="6"/>
      <c r="N424" s="4" t="str">
        <f>IFERROR(__xludf.DUMMYFUNCTION("TEXTJOIN("","", TRUE, FILTER($E$2:$E1000 &amp; $C$2:$C1000, $A$2:$A1000=A424, $B$2:$B1000=B424, $D$2:$D1000&lt;&gt;D424))"),"#N/A")</f>
        <v>#N/A</v>
      </c>
    </row>
    <row r="425">
      <c r="J425" s="6"/>
      <c r="K425" s="6"/>
      <c r="N425" s="4" t="str">
        <f>IFERROR(__xludf.DUMMYFUNCTION("TEXTJOIN("","", TRUE, FILTER($E$2:$E1000 &amp; $C$2:$C1000, $A$2:$A1000=A425, $B$2:$B1000=B425, $D$2:$D1000&lt;&gt;D425))"),"#N/A")</f>
        <v>#N/A</v>
      </c>
    </row>
    <row r="426">
      <c r="J426" s="6"/>
      <c r="K426" s="6"/>
      <c r="N426" s="4" t="str">
        <f>IFERROR(__xludf.DUMMYFUNCTION("TEXTJOIN("","", TRUE, FILTER($E$2:$E1000 &amp; $C$2:$C1000, $A$2:$A1000=A426, $B$2:$B1000=B426, $D$2:$D1000&lt;&gt;D426))"),"#N/A")</f>
        <v>#N/A</v>
      </c>
    </row>
    <row r="427">
      <c r="J427" s="6"/>
      <c r="K427" s="6"/>
      <c r="N427" s="4" t="str">
        <f>IFERROR(__xludf.DUMMYFUNCTION("TEXTJOIN("","", TRUE, FILTER($E$2:$E1000 &amp; $C$2:$C1000, $A$2:$A1000=A427, $B$2:$B1000=B427, $D$2:$D1000&lt;&gt;D427))"),"#N/A")</f>
        <v>#N/A</v>
      </c>
    </row>
    <row r="428">
      <c r="J428" s="6"/>
      <c r="K428" s="6"/>
      <c r="N428" s="4" t="str">
        <f>IFERROR(__xludf.DUMMYFUNCTION("TEXTJOIN("","", TRUE, FILTER($E$2:$E1000 &amp; $C$2:$C1000, $A$2:$A1000=A428, $B$2:$B1000=B428, $D$2:$D1000&lt;&gt;D428))"),"#N/A")</f>
        <v>#N/A</v>
      </c>
    </row>
    <row r="429">
      <c r="J429" s="6"/>
      <c r="K429" s="6"/>
      <c r="N429" s="4" t="str">
        <f>IFERROR(__xludf.DUMMYFUNCTION("TEXTJOIN("","", TRUE, FILTER($E$2:$E1000 &amp; $C$2:$C1000, $A$2:$A1000=A429, $B$2:$B1000=B429, $D$2:$D1000&lt;&gt;D429))"),"#N/A")</f>
        <v>#N/A</v>
      </c>
    </row>
    <row r="430">
      <c r="J430" s="6"/>
      <c r="K430" s="6"/>
      <c r="N430" s="4" t="str">
        <f>IFERROR(__xludf.DUMMYFUNCTION("TEXTJOIN("","", TRUE, FILTER($E$2:$E1000 &amp; $C$2:$C1000, $A$2:$A1000=A430, $B$2:$B1000=B430, $D$2:$D1000&lt;&gt;D430))"),"#N/A")</f>
        <v>#N/A</v>
      </c>
    </row>
    <row r="431">
      <c r="J431" s="6"/>
      <c r="K431" s="6"/>
      <c r="N431" s="4" t="str">
        <f>IFERROR(__xludf.DUMMYFUNCTION("TEXTJOIN("","", TRUE, FILTER($E$2:$E1000 &amp; $C$2:$C1000, $A$2:$A1000=A431, $B$2:$B1000=B431, $D$2:$D1000&lt;&gt;D431))"),"#N/A")</f>
        <v>#N/A</v>
      </c>
    </row>
    <row r="432">
      <c r="J432" s="6"/>
      <c r="K432" s="6"/>
      <c r="N432" s="4" t="str">
        <f>IFERROR(__xludf.DUMMYFUNCTION("TEXTJOIN("","", TRUE, FILTER($E$2:$E1000 &amp; $C$2:$C1000, $A$2:$A1000=A432, $B$2:$B1000=B432, $D$2:$D1000&lt;&gt;D432))"),"#N/A")</f>
        <v>#N/A</v>
      </c>
    </row>
    <row r="433">
      <c r="J433" s="6"/>
      <c r="K433" s="6"/>
      <c r="N433" s="4" t="str">
        <f>IFERROR(__xludf.DUMMYFUNCTION("TEXTJOIN("","", TRUE, FILTER($E$2:$E1000 &amp; $C$2:$C1000, $A$2:$A1000=A433, $B$2:$B1000=B433, $D$2:$D1000&lt;&gt;D433))"),"#N/A")</f>
        <v>#N/A</v>
      </c>
    </row>
    <row r="434">
      <c r="J434" s="6"/>
      <c r="K434" s="6"/>
      <c r="N434" s="4" t="str">
        <f>IFERROR(__xludf.DUMMYFUNCTION("TEXTJOIN("","", TRUE, FILTER($E$2:$E1000 &amp; $C$2:$C1000, $A$2:$A1000=A434, $B$2:$B1000=B434, $D$2:$D1000&lt;&gt;D434))"),"#N/A")</f>
        <v>#N/A</v>
      </c>
    </row>
    <row r="435">
      <c r="J435" s="6"/>
      <c r="K435" s="6"/>
      <c r="N435" s="4" t="str">
        <f>IFERROR(__xludf.DUMMYFUNCTION("TEXTJOIN("","", TRUE, FILTER($E$2:$E1000 &amp; $C$2:$C1000, $A$2:$A1000=A435, $B$2:$B1000=B435, $D$2:$D1000&lt;&gt;D435))"),"#N/A")</f>
        <v>#N/A</v>
      </c>
    </row>
    <row r="436">
      <c r="J436" s="6"/>
      <c r="K436" s="6"/>
      <c r="N436" s="4" t="str">
        <f>IFERROR(__xludf.DUMMYFUNCTION("TEXTJOIN("","", TRUE, FILTER($E$2:$E1000 &amp; $C$2:$C1000, $A$2:$A1000=A436, $B$2:$B1000=B436, $D$2:$D1000&lt;&gt;D436))"),"#N/A")</f>
        <v>#N/A</v>
      </c>
    </row>
    <row r="437">
      <c r="J437" s="6"/>
      <c r="K437" s="6"/>
      <c r="N437" s="4" t="str">
        <f>IFERROR(__xludf.DUMMYFUNCTION("TEXTJOIN("","", TRUE, FILTER($E$2:$E1000 &amp; $C$2:$C1000, $A$2:$A1000=A437, $B$2:$B1000=B437, $D$2:$D1000&lt;&gt;D437))"),"#N/A")</f>
        <v>#N/A</v>
      </c>
    </row>
    <row r="438">
      <c r="J438" s="6"/>
      <c r="K438" s="6"/>
      <c r="N438" s="4" t="str">
        <f>IFERROR(__xludf.DUMMYFUNCTION("TEXTJOIN("","", TRUE, FILTER($E$2:$E1000 &amp; $C$2:$C1000, $A$2:$A1000=A438, $B$2:$B1000=B438, $D$2:$D1000&lt;&gt;D438))"),"#N/A")</f>
        <v>#N/A</v>
      </c>
    </row>
    <row r="439">
      <c r="J439" s="6"/>
      <c r="K439" s="6"/>
      <c r="N439" s="4" t="str">
        <f>IFERROR(__xludf.DUMMYFUNCTION("TEXTJOIN("","", TRUE, FILTER($E$2:$E1000 &amp; $C$2:$C1000, $A$2:$A1000=A439, $B$2:$B1000=B439, $D$2:$D1000&lt;&gt;D439))"),"#N/A")</f>
        <v>#N/A</v>
      </c>
    </row>
    <row r="440">
      <c r="J440" s="6"/>
      <c r="K440" s="6"/>
      <c r="N440" s="4" t="str">
        <f>IFERROR(__xludf.DUMMYFUNCTION("TEXTJOIN("","", TRUE, FILTER($E$2:$E1000 &amp; $C$2:$C1000, $A$2:$A1000=A440, $B$2:$B1000=B440, $D$2:$D1000&lt;&gt;D440))"),"#N/A")</f>
        <v>#N/A</v>
      </c>
    </row>
    <row r="441">
      <c r="J441" s="6"/>
      <c r="K441" s="6"/>
      <c r="N441" s="4" t="str">
        <f>IFERROR(__xludf.DUMMYFUNCTION("TEXTJOIN("","", TRUE, FILTER($E$2:$E1000 &amp; $C$2:$C1000, $A$2:$A1000=A441, $B$2:$B1000=B441, $D$2:$D1000&lt;&gt;D441))"),"#N/A")</f>
        <v>#N/A</v>
      </c>
    </row>
    <row r="442">
      <c r="J442" s="6"/>
      <c r="K442" s="6"/>
      <c r="N442" s="4" t="str">
        <f>IFERROR(__xludf.DUMMYFUNCTION("TEXTJOIN("","", TRUE, FILTER($E$2:$E1000 &amp; $C$2:$C1000, $A$2:$A1000=A442, $B$2:$B1000=B442, $D$2:$D1000&lt;&gt;D442))"),"#N/A")</f>
        <v>#N/A</v>
      </c>
    </row>
    <row r="443">
      <c r="J443" s="6"/>
      <c r="K443" s="6"/>
      <c r="N443" s="4" t="str">
        <f>IFERROR(__xludf.DUMMYFUNCTION("TEXTJOIN("","", TRUE, FILTER($E$2:$E1000 &amp; $C$2:$C1000, $A$2:$A1000=A443, $B$2:$B1000=B443, $D$2:$D1000&lt;&gt;D443))"),"#N/A")</f>
        <v>#N/A</v>
      </c>
    </row>
    <row r="444">
      <c r="J444" s="6"/>
      <c r="K444" s="6"/>
      <c r="N444" s="4" t="str">
        <f>IFERROR(__xludf.DUMMYFUNCTION("TEXTJOIN("","", TRUE, FILTER($E$2:$E1000 &amp; $C$2:$C1000, $A$2:$A1000=A444, $B$2:$B1000=B444, $D$2:$D1000&lt;&gt;D444))"),"#N/A")</f>
        <v>#N/A</v>
      </c>
    </row>
    <row r="445">
      <c r="J445" s="6"/>
      <c r="K445" s="6"/>
      <c r="N445" s="4" t="str">
        <f>IFERROR(__xludf.DUMMYFUNCTION("TEXTJOIN("","", TRUE, FILTER($E$2:$E1000 &amp; $C$2:$C1000, $A$2:$A1000=A445, $B$2:$B1000=B445, $D$2:$D1000&lt;&gt;D445))"),"#N/A")</f>
        <v>#N/A</v>
      </c>
    </row>
    <row r="446">
      <c r="J446" s="6"/>
      <c r="K446" s="6"/>
      <c r="N446" s="4" t="str">
        <f>IFERROR(__xludf.DUMMYFUNCTION("TEXTJOIN("","", TRUE, FILTER($E$2:$E1000 &amp; $C$2:$C1000, $A$2:$A1000=A446, $B$2:$B1000=B446, $D$2:$D1000&lt;&gt;D446))"),"#N/A")</f>
        <v>#N/A</v>
      </c>
    </row>
    <row r="447">
      <c r="J447" s="6"/>
      <c r="K447" s="6"/>
      <c r="N447" s="4" t="str">
        <f>IFERROR(__xludf.DUMMYFUNCTION("TEXTJOIN("","", TRUE, FILTER($E$2:$E1000 &amp; $C$2:$C1000, $A$2:$A1000=A447, $B$2:$B1000=B447, $D$2:$D1000&lt;&gt;D447))"),"#N/A")</f>
        <v>#N/A</v>
      </c>
    </row>
    <row r="448">
      <c r="J448" s="6"/>
      <c r="K448" s="6"/>
      <c r="N448" s="4" t="str">
        <f>IFERROR(__xludf.DUMMYFUNCTION("TEXTJOIN("","", TRUE, FILTER($E$2:$E1000 &amp; $C$2:$C1000, $A$2:$A1000=A448, $B$2:$B1000=B448, $D$2:$D1000&lt;&gt;D448))"),"#N/A")</f>
        <v>#N/A</v>
      </c>
    </row>
    <row r="449">
      <c r="J449" s="6"/>
      <c r="K449" s="6"/>
      <c r="N449" s="4" t="str">
        <f>IFERROR(__xludf.DUMMYFUNCTION("TEXTJOIN("","", TRUE, FILTER($E$2:$E1000 &amp; $C$2:$C1000, $A$2:$A1000=A449, $B$2:$B1000=B449, $D$2:$D1000&lt;&gt;D449))"),"#N/A")</f>
        <v>#N/A</v>
      </c>
    </row>
    <row r="450">
      <c r="J450" s="6"/>
      <c r="K450" s="6"/>
      <c r="N450" s="4" t="str">
        <f>IFERROR(__xludf.DUMMYFUNCTION("TEXTJOIN("","", TRUE, FILTER($E$2:$E1000 &amp; $C$2:$C1000, $A$2:$A1000=A450, $B$2:$B1000=B450, $D$2:$D1000&lt;&gt;D450))"),"#N/A")</f>
        <v>#N/A</v>
      </c>
    </row>
    <row r="451">
      <c r="J451" s="6"/>
      <c r="K451" s="6"/>
      <c r="N451" s="4" t="str">
        <f>IFERROR(__xludf.DUMMYFUNCTION("TEXTJOIN("","", TRUE, FILTER($E$2:$E1000 &amp; $C$2:$C1000, $A$2:$A1000=A451, $B$2:$B1000=B451, $D$2:$D1000&lt;&gt;D451))"),"#N/A")</f>
        <v>#N/A</v>
      </c>
    </row>
    <row r="452">
      <c r="J452" s="6"/>
      <c r="K452" s="6"/>
      <c r="N452" s="4" t="str">
        <f>IFERROR(__xludf.DUMMYFUNCTION("TEXTJOIN("","", TRUE, FILTER($E$2:$E1000 &amp; $C$2:$C1000, $A$2:$A1000=A452, $B$2:$B1000=B452, $D$2:$D1000&lt;&gt;D452))"),"#N/A")</f>
        <v>#N/A</v>
      </c>
    </row>
    <row r="453">
      <c r="J453" s="6"/>
      <c r="K453" s="6"/>
      <c r="N453" s="4" t="str">
        <f>IFERROR(__xludf.DUMMYFUNCTION("TEXTJOIN("","", TRUE, FILTER($E$2:$E1000 &amp; $C$2:$C1000, $A$2:$A1000=A453, $B$2:$B1000=B453, $D$2:$D1000&lt;&gt;D453))"),"#N/A")</f>
        <v>#N/A</v>
      </c>
    </row>
    <row r="454">
      <c r="J454" s="6"/>
      <c r="K454" s="6"/>
      <c r="N454" s="4" t="str">
        <f>IFERROR(__xludf.DUMMYFUNCTION("TEXTJOIN("","", TRUE, FILTER($E$2:$E1000 &amp; $C$2:$C1000, $A$2:$A1000=A454, $B$2:$B1000=B454, $D$2:$D1000&lt;&gt;D454))"),"#N/A")</f>
        <v>#N/A</v>
      </c>
    </row>
    <row r="455">
      <c r="J455" s="6"/>
      <c r="K455" s="6"/>
      <c r="N455" s="4" t="str">
        <f>IFERROR(__xludf.DUMMYFUNCTION("TEXTJOIN("","", TRUE, FILTER($E$2:$E1000 &amp; $C$2:$C1000, $A$2:$A1000=A455, $B$2:$B1000=B455, $D$2:$D1000&lt;&gt;D455))"),"#N/A")</f>
        <v>#N/A</v>
      </c>
    </row>
    <row r="456">
      <c r="J456" s="6"/>
      <c r="K456" s="6"/>
      <c r="N456" s="4" t="str">
        <f>IFERROR(__xludf.DUMMYFUNCTION("TEXTJOIN("","", TRUE, FILTER($E$2:$E1000 &amp; $C$2:$C1000, $A$2:$A1000=A456, $B$2:$B1000=B456, $D$2:$D1000&lt;&gt;D456))"),"#N/A")</f>
        <v>#N/A</v>
      </c>
    </row>
    <row r="457">
      <c r="J457" s="6"/>
      <c r="K457" s="6"/>
      <c r="N457" s="4" t="str">
        <f>IFERROR(__xludf.DUMMYFUNCTION("TEXTJOIN("","", TRUE, FILTER($E$2:$E1000 &amp; $C$2:$C1000, $A$2:$A1000=A457, $B$2:$B1000=B457, $D$2:$D1000&lt;&gt;D457))"),"#N/A")</f>
        <v>#N/A</v>
      </c>
    </row>
    <row r="458">
      <c r="J458" s="6"/>
      <c r="K458" s="6"/>
      <c r="N458" s="4" t="str">
        <f>IFERROR(__xludf.DUMMYFUNCTION("TEXTJOIN("","", TRUE, FILTER($E$2:$E1000 &amp; $C$2:$C1000, $A$2:$A1000=A458, $B$2:$B1000=B458, $D$2:$D1000&lt;&gt;D458))"),"#N/A")</f>
        <v>#N/A</v>
      </c>
    </row>
    <row r="459">
      <c r="J459" s="6"/>
      <c r="K459" s="6"/>
      <c r="N459" s="4" t="str">
        <f>IFERROR(__xludf.DUMMYFUNCTION("TEXTJOIN("","", TRUE, FILTER($E$2:$E1000 &amp; $C$2:$C1000, $A$2:$A1000=A459, $B$2:$B1000=B459, $D$2:$D1000&lt;&gt;D459))"),"#N/A")</f>
        <v>#N/A</v>
      </c>
    </row>
    <row r="460">
      <c r="J460" s="6"/>
      <c r="K460" s="6"/>
      <c r="N460" s="4" t="str">
        <f>IFERROR(__xludf.DUMMYFUNCTION("TEXTJOIN("","", TRUE, FILTER($E$2:$E1000 &amp; $C$2:$C1000, $A$2:$A1000=A460, $B$2:$B1000=B460, $D$2:$D1000&lt;&gt;D460))"),"#N/A")</f>
        <v>#N/A</v>
      </c>
    </row>
    <row r="461">
      <c r="J461" s="6"/>
      <c r="K461" s="6"/>
      <c r="N461" s="4" t="str">
        <f>IFERROR(__xludf.DUMMYFUNCTION("TEXTJOIN("","", TRUE, FILTER($E$2:$E1000 &amp; $C$2:$C1000, $A$2:$A1000=A461, $B$2:$B1000=B461, $D$2:$D1000&lt;&gt;D461))"),"#N/A")</f>
        <v>#N/A</v>
      </c>
    </row>
    <row r="462">
      <c r="J462" s="6"/>
      <c r="K462" s="6"/>
      <c r="N462" s="4" t="str">
        <f>IFERROR(__xludf.DUMMYFUNCTION("TEXTJOIN("","", TRUE, FILTER($E$2:$E1000 &amp; $C$2:$C1000, $A$2:$A1000=A462, $B$2:$B1000=B462, $D$2:$D1000&lt;&gt;D462))"),"#N/A")</f>
        <v>#N/A</v>
      </c>
    </row>
    <row r="463">
      <c r="J463" s="6"/>
      <c r="K463" s="6"/>
      <c r="N463" s="4" t="str">
        <f>IFERROR(__xludf.DUMMYFUNCTION("TEXTJOIN("","", TRUE, FILTER($E$2:$E1000 &amp; $C$2:$C1000, $A$2:$A1000=A463, $B$2:$B1000=B463, $D$2:$D1000&lt;&gt;D463))"),"#N/A")</f>
        <v>#N/A</v>
      </c>
    </row>
    <row r="464">
      <c r="J464" s="6"/>
      <c r="K464" s="6"/>
      <c r="N464" s="4" t="str">
        <f>IFERROR(__xludf.DUMMYFUNCTION("TEXTJOIN("","", TRUE, FILTER($E$2:$E1000 &amp; $C$2:$C1000, $A$2:$A1000=A464, $B$2:$B1000=B464, $D$2:$D1000&lt;&gt;D464))"),"#N/A")</f>
        <v>#N/A</v>
      </c>
    </row>
    <row r="465">
      <c r="J465" s="6"/>
      <c r="K465" s="6"/>
      <c r="N465" s="4" t="str">
        <f>IFERROR(__xludf.DUMMYFUNCTION("TEXTJOIN("","", TRUE, FILTER($E$2:$E1000 &amp; $C$2:$C1000, $A$2:$A1000=A465, $B$2:$B1000=B465, $D$2:$D1000&lt;&gt;D465))"),"#N/A")</f>
        <v>#N/A</v>
      </c>
    </row>
    <row r="466">
      <c r="J466" s="6"/>
      <c r="K466" s="6"/>
      <c r="N466" s="4" t="str">
        <f>IFERROR(__xludf.DUMMYFUNCTION("TEXTJOIN("","", TRUE, FILTER($E$2:$E1000 &amp; $C$2:$C1000, $A$2:$A1000=A466, $B$2:$B1000=B466, $D$2:$D1000&lt;&gt;D466))"),"#N/A")</f>
        <v>#N/A</v>
      </c>
    </row>
    <row r="467">
      <c r="J467" s="6"/>
      <c r="K467" s="6"/>
      <c r="N467" s="4" t="str">
        <f>IFERROR(__xludf.DUMMYFUNCTION("TEXTJOIN("","", TRUE, FILTER($E$2:$E1000 &amp; $C$2:$C1000, $A$2:$A1000=A467, $B$2:$B1000=B467, $D$2:$D1000&lt;&gt;D467))"),"#N/A")</f>
        <v>#N/A</v>
      </c>
    </row>
    <row r="468">
      <c r="J468" s="6"/>
      <c r="K468" s="6"/>
      <c r="N468" s="4" t="str">
        <f>IFERROR(__xludf.DUMMYFUNCTION("TEXTJOIN("","", TRUE, FILTER($E$2:$E1000 &amp; $C$2:$C1000, $A$2:$A1000=A468, $B$2:$B1000=B468, $D$2:$D1000&lt;&gt;D468))"),"#N/A")</f>
        <v>#N/A</v>
      </c>
    </row>
    <row r="469">
      <c r="J469" s="6"/>
      <c r="K469" s="6"/>
      <c r="N469" s="4" t="str">
        <f>IFERROR(__xludf.DUMMYFUNCTION("TEXTJOIN("","", TRUE, FILTER($E$2:$E1000 &amp; $C$2:$C1000, $A$2:$A1000=A469, $B$2:$B1000=B469, $D$2:$D1000&lt;&gt;D469))"),"#N/A")</f>
        <v>#N/A</v>
      </c>
    </row>
    <row r="470">
      <c r="J470" s="6"/>
      <c r="K470" s="6"/>
      <c r="N470" s="4" t="str">
        <f>IFERROR(__xludf.DUMMYFUNCTION("TEXTJOIN("","", TRUE, FILTER($E$2:$E1000 &amp; $C$2:$C1000, $A$2:$A1000=A470, $B$2:$B1000=B470, $D$2:$D1000&lt;&gt;D470))"),"#N/A")</f>
        <v>#N/A</v>
      </c>
    </row>
    <row r="471">
      <c r="J471" s="6"/>
      <c r="K471" s="6"/>
      <c r="N471" s="4" t="str">
        <f>IFERROR(__xludf.DUMMYFUNCTION("TEXTJOIN("","", TRUE, FILTER($E$2:$E1000 &amp; $C$2:$C1000, $A$2:$A1000=A471, $B$2:$B1000=B471, $D$2:$D1000&lt;&gt;D471))"),"#N/A")</f>
        <v>#N/A</v>
      </c>
    </row>
    <row r="472">
      <c r="J472" s="6"/>
      <c r="K472" s="6"/>
      <c r="N472" s="4" t="str">
        <f>IFERROR(__xludf.DUMMYFUNCTION("TEXTJOIN("","", TRUE, FILTER($E$2:$E1000 &amp; $C$2:$C1000, $A$2:$A1000=A472, $B$2:$B1000=B472, $D$2:$D1000&lt;&gt;D472))"),"#N/A")</f>
        <v>#N/A</v>
      </c>
    </row>
    <row r="473">
      <c r="J473" s="6"/>
      <c r="K473" s="6"/>
      <c r="N473" s="4" t="str">
        <f>IFERROR(__xludf.DUMMYFUNCTION("TEXTJOIN("","", TRUE, FILTER($E$2:$E1000 &amp; $C$2:$C1000, $A$2:$A1000=A473, $B$2:$B1000=B473, $D$2:$D1000&lt;&gt;D473))"),"#N/A")</f>
        <v>#N/A</v>
      </c>
    </row>
    <row r="474">
      <c r="J474" s="6"/>
      <c r="K474" s="6"/>
      <c r="N474" s="4" t="str">
        <f>IFERROR(__xludf.DUMMYFUNCTION("TEXTJOIN("","", TRUE, FILTER($E$2:$E1000 &amp; $C$2:$C1000, $A$2:$A1000=A474, $B$2:$B1000=B474, $D$2:$D1000&lt;&gt;D474))"),"#N/A")</f>
        <v>#N/A</v>
      </c>
    </row>
    <row r="475">
      <c r="J475" s="6"/>
      <c r="K475" s="6"/>
      <c r="N475" s="4" t="str">
        <f>IFERROR(__xludf.DUMMYFUNCTION("TEXTJOIN("","", TRUE, FILTER($E$2:$E1000 &amp; $C$2:$C1000, $A$2:$A1000=A475, $B$2:$B1000=B475, $D$2:$D1000&lt;&gt;D475))"),"#N/A")</f>
        <v>#N/A</v>
      </c>
    </row>
    <row r="476">
      <c r="J476" s="6"/>
      <c r="K476" s="6"/>
      <c r="N476" s="4" t="str">
        <f>IFERROR(__xludf.DUMMYFUNCTION("TEXTJOIN("","", TRUE, FILTER($E$2:$E1000 &amp; $C$2:$C1000, $A$2:$A1000=A476, $B$2:$B1000=B476, $D$2:$D1000&lt;&gt;D476))"),"#N/A")</f>
        <v>#N/A</v>
      </c>
    </row>
    <row r="477">
      <c r="J477" s="6"/>
      <c r="K477" s="6"/>
      <c r="N477" s="4" t="str">
        <f>IFERROR(__xludf.DUMMYFUNCTION("TEXTJOIN("","", TRUE, FILTER($E$2:$E1000 &amp; $C$2:$C1000, $A$2:$A1000=A477, $B$2:$B1000=B477, $D$2:$D1000&lt;&gt;D477))"),"#N/A")</f>
        <v>#N/A</v>
      </c>
    </row>
    <row r="478">
      <c r="J478" s="6"/>
      <c r="K478" s="6"/>
      <c r="N478" s="4" t="str">
        <f>IFERROR(__xludf.DUMMYFUNCTION("TEXTJOIN("","", TRUE, FILTER($E$2:$E1000 &amp; $C$2:$C1000, $A$2:$A1000=A478, $B$2:$B1000=B478, $D$2:$D1000&lt;&gt;D478))"),"#N/A")</f>
        <v>#N/A</v>
      </c>
    </row>
    <row r="479">
      <c r="J479" s="6"/>
      <c r="K479" s="6"/>
      <c r="N479" s="4" t="str">
        <f>IFERROR(__xludf.DUMMYFUNCTION("TEXTJOIN("","", TRUE, FILTER($E$2:$E1000 &amp; $C$2:$C1000, $A$2:$A1000=A479, $B$2:$B1000=B479, $D$2:$D1000&lt;&gt;D479))"),"#N/A")</f>
        <v>#N/A</v>
      </c>
    </row>
    <row r="480">
      <c r="J480" s="6"/>
      <c r="K480" s="6"/>
      <c r="N480" s="4" t="str">
        <f>IFERROR(__xludf.DUMMYFUNCTION("TEXTJOIN("","", TRUE, FILTER($E$2:$E1000 &amp; $C$2:$C1000, $A$2:$A1000=A480, $B$2:$B1000=B480, $D$2:$D1000&lt;&gt;D480))"),"#N/A")</f>
        <v>#N/A</v>
      </c>
    </row>
    <row r="481">
      <c r="J481" s="6"/>
      <c r="K481" s="6"/>
      <c r="N481" s="4" t="str">
        <f>IFERROR(__xludf.DUMMYFUNCTION("TEXTJOIN("","", TRUE, FILTER($E$2:$E1000 &amp; $C$2:$C1000, $A$2:$A1000=A481, $B$2:$B1000=B481, $D$2:$D1000&lt;&gt;D481))"),"#N/A")</f>
        <v>#N/A</v>
      </c>
    </row>
    <row r="482">
      <c r="J482" s="6"/>
      <c r="K482" s="6"/>
      <c r="N482" s="4" t="str">
        <f>IFERROR(__xludf.DUMMYFUNCTION("TEXTJOIN("","", TRUE, FILTER($E$2:$E1000 &amp; $C$2:$C1000, $A$2:$A1000=A482, $B$2:$B1000=B482, $D$2:$D1000&lt;&gt;D482))"),"#N/A")</f>
        <v>#N/A</v>
      </c>
    </row>
    <row r="483">
      <c r="J483" s="6"/>
      <c r="K483" s="6"/>
      <c r="N483" s="4" t="str">
        <f>IFERROR(__xludf.DUMMYFUNCTION("TEXTJOIN("","", TRUE, FILTER($E$2:$E1000 &amp; $C$2:$C1000, $A$2:$A1000=A483, $B$2:$B1000=B483, $D$2:$D1000&lt;&gt;D483))"),"#N/A")</f>
        <v>#N/A</v>
      </c>
    </row>
    <row r="484">
      <c r="J484" s="6"/>
      <c r="K484" s="6"/>
      <c r="N484" s="4" t="str">
        <f>IFERROR(__xludf.DUMMYFUNCTION("TEXTJOIN("","", TRUE, FILTER($E$2:$E1000 &amp; $C$2:$C1000, $A$2:$A1000=A484, $B$2:$B1000=B484, $D$2:$D1000&lt;&gt;D484))"),"#N/A")</f>
        <v>#N/A</v>
      </c>
    </row>
    <row r="485">
      <c r="J485" s="6"/>
      <c r="K485" s="6"/>
      <c r="N485" s="4" t="str">
        <f>IFERROR(__xludf.DUMMYFUNCTION("TEXTJOIN("","", TRUE, FILTER($E$2:$E1000 &amp; $C$2:$C1000, $A$2:$A1000=A485, $B$2:$B1000=B485, $D$2:$D1000&lt;&gt;D485))"),"#N/A")</f>
        <v>#N/A</v>
      </c>
    </row>
    <row r="486">
      <c r="J486" s="6"/>
      <c r="K486" s="6"/>
      <c r="N486" s="4" t="str">
        <f>IFERROR(__xludf.DUMMYFUNCTION("TEXTJOIN("","", TRUE, FILTER($E$2:$E1000 &amp; $C$2:$C1000, $A$2:$A1000=A486, $B$2:$B1000=B486, $D$2:$D1000&lt;&gt;D486))"),"#N/A")</f>
        <v>#N/A</v>
      </c>
    </row>
    <row r="487">
      <c r="J487" s="6"/>
      <c r="K487" s="6"/>
      <c r="N487" s="4" t="str">
        <f>IFERROR(__xludf.DUMMYFUNCTION("TEXTJOIN("","", TRUE, FILTER($E$2:$E1000 &amp; $C$2:$C1000, $A$2:$A1000=A487, $B$2:$B1000=B487, $D$2:$D1000&lt;&gt;D487))"),"#N/A")</f>
        <v>#N/A</v>
      </c>
    </row>
    <row r="488">
      <c r="J488" s="6"/>
      <c r="K488" s="6"/>
      <c r="N488" s="4" t="str">
        <f>IFERROR(__xludf.DUMMYFUNCTION("TEXTJOIN("","", TRUE, FILTER($E$2:$E1000 &amp; $C$2:$C1000, $A$2:$A1000=A488, $B$2:$B1000=B488, $D$2:$D1000&lt;&gt;D488))"),"#N/A")</f>
        <v>#N/A</v>
      </c>
    </row>
    <row r="489">
      <c r="J489" s="6"/>
      <c r="K489" s="6"/>
      <c r="N489" s="4" t="str">
        <f>IFERROR(__xludf.DUMMYFUNCTION("TEXTJOIN("","", TRUE, FILTER($E$2:$E1000 &amp; $C$2:$C1000, $A$2:$A1000=A489, $B$2:$B1000=B489, $D$2:$D1000&lt;&gt;D489))"),"#N/A")</f>
        <v>#N/A</v>
      </c>
    </row>
    <row r="490">
      <c r="J490" s="6"/>
      <c r="K490" s="6"/>
      <c r="N490" s="4" t="str">
        <f>IFERROR(__xludf.DUMMYFUNCTION("TEXTJOIN("","", TRUE, FILTER($E$2:$E1000 &amp; $C$2:$C1000, $A$2:$A1000=A490, $B$2:$B1000=B490, $D$2:$D1000&lt;&gt;D490))"),"#N/A")</f>
        <v>#N/A</v>
      </c>
    </row>
    <row r="491">
      <c r="J491" s="6"/>
      <c r="K491" s="6"/>
      <c r="N491" s="4" t="str">
        <f>IFERROR(__xludf.DUMMYFUNCTION("TEXTJOIN("","", TRUE, FILTER($E$2:$E1000 &amp; $C$2:$C1000, $A$2:$A1000=A491, $B$2:$B1000=B491, $D$2:$D1000&lt;&gt;D491))"),"#N/A")</f>
        <v>#N/A</v>
      </c>
    </row>
    <row r="492">
      <c r="J492" s="6"/>
      <c r="K492" s="6"/>
      <c r="N492" s="4" t="str">
        <f>IFERROR(__xludf.DUMMYFUNCTION("TEXTJOIN("","", TRUE, FILTER($E$2:$E1000 &amp; $C$2:$C1000, $A$2:$A1000=A492, $B$2:$B1000=B492, $D$2:$D1000&lt;&gt;D492))"),"#N/A")</f>
        <v>#N/A</v>
      </c>
    </row>
    <row r="493">
      <c r="J493" s="6"/>
      <c r="K493" s="6"/>
      <c r="N493" s="4" t="str">
        <f>IFERROR(__xludf.DUMMYFUNCTION("TEXTJOIN("","", TRUE, FILTER($E$2:$E1000 &amp; $C$2:$C1000, $A$2:$A1000=A493, $B$2:$B1000=B493, $D$2:$D1000&lt;&gt;D493))"),"#N/A")</f>
        <v>#N/A</v>
      </c>
    </row>
    <row r="494">
      <c r="J494" s="6"/>
      <c r="K494" s="6"/>
      <c r="N494" s="4" t="str">
        <f>IFERROR(__xludf.DUMMYFUNCTION("TEXTJOIN("","", TRUE, FILTER($E$2:$E1000 &amp; $C$2:$C1000, $A$2:$A1000=A494, $B$2:$B1000=B494, $D$2:$D1000&lt;&gt;D494))"),"#N/A")</f>
        <v>#N/A</v>
      </c>
    </row>
    <row r="495">
      <c r="J495" s="6"/>
      <c r="K495" s="6"/>
      <c r="N495" s="4" t="str">
        <f>IFERROR(__xludf.DUMMYFUNCTION("TEXTJOIN("","", TRUE, FILTER($E$2:$E1000 &amp; $C$2:$C1000, $A$2:$A1000=A495, $B$2:$B1000=B495, $D$2:$D1000&lt;&gt;D495))"),"#N/A")</f>
        <v>#N/A</v>
      </c>
    </row>
    <row r="496">
      <c r="J496" s="6"/>
      <c r="K496" s="6"/>
      <c r="N496" s="4" t="str">
        <f>IFERROR(__xludf.DUMMYFUNCTION("TEXTJOIN("","", TRUE, FILTER($E$2:$E1000 &amp; $C$2:$C1000, $A$2:$A1000=A496, $B$2:$B1000=B496, $D$2:$D1000&lt;&gt;D496))"),"#N/A")</f>
        <v>#N/A</v>
      </c>
    </row>
    <row r="497">
      <c r="J497" s="6"/>
      <c r="K497" s="6"/>
      <c r="N497" s="4" t="str">
        <f>IFERROR(__xludf.DUMMYFUNCTION("TEXTJOIN("","", TRUE, FILTER($E$2:$E1000 &amp; $C$2:$C1000, $A$2:$A1000=A497, $B$2:$B1000=B497, $D$2:$D1000&lt;&gt;D497))"),"#N/A")</f>
        <v>#N/A</v>
      </c>
    </row>
    <row r="498">
      <c r="J498" s="6"/>
      <c r="K498" s="6"/>
      <c r="N498" s="4" t="str">
        <f>IFERROR(__xludf.DUMMYFUNCTION("TEXTJOIN("","", TRUE, FILTER($E$2:$E1000 &amp; $C$2:$C1000, $A$2:$A1000=A498, $B$2:$B1000=B498, $D$2:$D1000&lt;&gt;D498))"),"#N/A")</f>
        <v>#N/A</v>
      </c>
    </row>
    <row r="499">
      <c r="J499" s="6"/>
      <c r="K499" s="6"/>
      <c r="N499" s="4" t="str">
        <f>IFERROR(__xludf.DUMMYFUNCTION("TEXTJOIN("","", TRUE, FILTER($E$2:$E1000 &amp; $C$2:$C1000, $A$2:$A1000=A499, $B$2:$B1000=B499, $D$2:$D1000&lt;&gt;D499))"),"#N/A")</f>
        <v>#N/A</v>
      </c>
    </row>
    <row r="500">
      <c r="J500" s="6"/>
      <c r="K500" s="6"/>
      <c r="N500" s="4" t="str">
        <f>IFERROR(__xludf.DUMMYFUNCTION("TEXTJOIN("","", TRUE, FILTER($E$2:$E1000 &amp; $C$2:$C1000, $A$2:$A1000=A500, $B$2:$B1000=B500, $D$2:$D1000&lt;&gt;D500))"),"#N/A")</f>
        <v>#N/A</v>
      </c>
    </row>
    <row r="501">
      <c r="J501" s="6"/>
      <c r="K501" s="6"/>
      <c r="N501" s="4" t="str">
        <f>IFERROR(__xludf.DUMMYFUNCTION("TEXTJOIN("","", TRUE, FILTER($E$2:$E1000 &amp; $C$2:$C1000, $A$2:$A1000=A501, $B$2:$B1000=B501, $D$2:$D1000&lt;&gt;D501))"),"#N/A")</f>
        <v>#N/A</v>
      </c>
    </row>
    <row r="502">
      <c r="J502" s="6"/>
      <c r="K502" s="6"/>
      <c r="N502" s="4" t="str">
        <f>IFERROR(__xludf.DUMMYFUNCTION("TEXTJOIN("","", TRUE, FILTER($E$2:$E1000 &amp; $C$2:$C1000, $A$2:$A1000=A502, $B$2:$B1000=B502, $D$2:$D1000&lt;&gt;D502))"),"#N/A")</f>
        <v>#N/A</v>
      </c>
    </row>
    <row r="503">
      <c r="J503" s="6"/>
      <c r="K503" s="6"/>
      <c r="N503" s="4" t="str">
        <f>IFERROR(__xludf.DUMMYFUNCTION("TEXTJOIN("","", TRUE, FILTER($E$2:$E1000 &amp; $C$2:$C1000, $A$2:$A1000=A503, $B$2:$B1000=B503, $D$2:$D1000&lt;&gt;D503))"),"#N/A")</f>
        <v>#N/A</v>
      </c>
    </row>
    <row r="504">
      <c r="J504" s="6"/>
      <c r="K504" s="6"/>
      <c r="N504" s="4" t="str">
        <f>IFERROR(__xludf.DUMMYFUNCTION("TEXTJOIN("","", TRUE, FILTER($E$2:$E1000 &amp; $C$2:$C1000, $A$2:$A1000=A504, $B$2:$B1000=B504, $D$2:$D1000&lt;&gt;D504))"),"#N/A")</f>
        <v>#N/A</v>
      </c>
    </row>
    <row r="505">
      <c r="J505" s="6"/>
      <c r="K505" s="6"/>
      <c r="N505" s="4" t="str">
        <f>IFERROR(__xludf.DUMMYFUNCTION("TEXTJOIN("","", TRUE, FILTER($E$2:$E1000 &amp; $C$2:$C1000, $A$2:$A1000=A505, $B$2:$B1000=B505, $D$2:$D1000&lt;&gt;D505))"),"#N/A")</f>
        <v>#N/A</v>
      </c>
    </row>
    <row r="506">
      <c r="J506" s="6"/>
      <c r="K506" s="6"/>
      <c r="N506" s="4" t="str">
        <f>IFERROR(__xludf.DUMMYFUNCTION("TEXTJOIN("","", TRUE, FILTER($E$2:$E1000 &amp; $C$2:$C1000, $A$2:$A1000=A506, $B$2:$B1000=B506, $D$2:$D1000&lt;&gt;D506))"),"#N/A")</f>
        <v>#N/A</v>
      </c>
    </row>
    <row r="507">
      <c r="J507" s="6"/>
      <c r="K507" s="6"/>
      <c r="N507" s="4" t="str">
        <f>IFERROR(__xludf.DUMMYFUNCTION("TEXTJOIN("","", TRUE, FILTER($E$2:$E1000 &amp; $C$2:$C1000, $A$2:$A1000=A507, $B$2:$B1000=B507, $D$2:$D1000&lt;&gt;D507))"),"#N/A")</f>
        <v>#N/A</v>
      </c>
    </row>
    <row r="508">
      <c r="J508" s="6"/>
      <c r="K508" s="6"/>
      <c r="N508" s="4" t="str">
        <f>IFERROR(__xludf.DUMMYFUNCTION("TEXTJOIN("","", TRUE, FILTER($E$2:$E1000 &amp; $C$2:$C1000, $A$2:$A1000=A508, $B$2:$B1000=B508, $D$2:$D1000&lt;&gt;D508))"),"#N/A")</f>
        <v>#N/A</v>
      </c>
    </row>
    <row r="509">
      <c r="J509" s="6"/>
      <c r="K509" s="6"/>
      <c r="N509" s="4" t="str">
        <f>IFERROR(__xludf.DUMMYFUNCTION("TEXTJOIN("","", TRUE, FILTER($E$2:$E1000 &amp; $C$2:$C1000, $A$2:$A1000=A509, $B$2:$B1000=B509, $D$2:$D1000&lt;&gt;D509))"),"#N/A")</f>
        <v>#N/A</v>
      </c>
    </row>
    <row r="510">
      <c r="J510" s="6"/>
      <c r="K510" s="6"/>
      <c r="N510" s="4" t="str">
        <f>IFERROR(__xludf.DUMMYFUNCTION("TEXTJOIN("","", TRUE, FILTER($E$2:$E1000 &amp; $C$2:$C1000, $A$2:$A1000=A510, $B$2:$B1000=B510, $D$2:$D1000&lt;&gt;D510))"),"#N/A")</f>
        <v>#N/A</v>
      </c>
    </row>
    <row r="511">
      <c r="J511" s="6"/>
      <c r="K511" s="6"/>
      <c r="N511" s="4" t="str">
        <f>IFERROR(__xludf.DUMMYFUNCTION("TEXTJOIN("","", TRUE, FILTER($E$2:$E1000 &amp; $C$2:$C1000, $A$2:$A1000=A511, $B$2:$B1000=B511, $D$2:$D1000&lt;&gt;D511))"),"#N/A")</f>
        <v>#N/A</v>
      </c>
    </row>
    <row r="512">
      <c r="J512" s="6"/>
      <c r="K512" s="6"/>
      <c r="N512" s="4" t="str">
        <f>IFERROR(__xludf.DUMMYFUNCTION("TEXTJOIN("","", TRUE, FILTER($E$2:$E1000 &amp; $C$2:$C1000, $A$2:$A1000=A512, $B$2:$B1000=B512, $D$2:$D1000&lt;&gt;D512))"),"#N/A")</f>
        <v>#N/A</v>
      </c>
    </row>
    <row r="513">
      <c r="J513" s="6"/>
      <c r="K513" s="6"/>
      <c r="N513" s="4" t="str">
        <f>IFERROR(__xludf.DUMMYFUNCTION("TEXTJOIN("","", TRUE, FILTER($E$2:$E1000 &amp; $C$2:$C1000, $A$2:$A1000=A513, $B$2:$B1000=B513, $D$2:$D1000&lt;&gt;D513))"),"#N/A")</f>
        <v>#N/A</v>
      </c>
    </row>
    <row r="514">
      <c r="J514" s="6"/>
      <c r="K514" s="6"/>
      <c r="N514" s="4" t="str">
        <f>IFERROR(__xludf.DUMMYFUNCTION("TEXTJOIN("","", TRUE, FILTER($E$2:$E1000 &amp; $C$2:$C1000, $A$2:$A1000=A514, $B$2:$B1000=B514, $D$2:$D1000&lt;&gt;D514))"),"#N/A")</f>
        <v>#N/A</v>
      </c>
    </row>
    <row r="515">
      <c r="J515" s="6"/>
      <c r="K515" s="6"/>
      <c r="N515" s="4" t="str">
        <f>IFERROR(__xludf.DUMMYFUNCTION("TEXTJOIN("","", TRUE, FILTER($E$2:$E1000 &amp; $C$2:$C1000, $A$2:$A1000=A515, $B$2:$B1000=B515, $D$2:$D1000&lt;&gt;D515))"),"#N/A")</f>
        <v>#N/A</v>
      </c>
    </row>
    <row r="516">
      <c r="J516" s="6"/>
      <c r="K516" s="6"/>
      <c r="N516" s="4" t="str">
        <f>IFERROR(__xludf.DUMMYFUNCTION("TEXTJOIN("","", TRUE, FILTER($E$2:$E1000 &amp; $C$2:$C1000, $A$2:$A1000=A516, $B$2:$B1000=B516, $D$2:$D1000&lt;&gt;D516))"),"#N/A")</f>
        <v>#N/A</v>
      </c>
    </row>
    <row r="517">
      <c r="J517" s="6"/>
      <c r="K517" s="6"/>
      <c r="N517" s="4" t="str">
        <f>IFERROR(__xludf.DUMMYFUNCTION("TEXTJOIN("","", TRUE, FILTER($E$2:$E1000 &amp; $C$2:$C1000, $A$2:$A1000=A517, $B$2:$B1000=B517, $D$2:$D1000&lt;&gt;D517))"),"#N/A")</f>
        <v>#N/A</v>
      </c>
    </row>
    <row r="518">
      <c r="J518" s="6"/>
      <c r="K518" s="6"/>
      <c r="N518" s="4" t="str">
        <f>IFERROR(__xludf.DUMMYFUNCTION("TEXTJOIN("","", TRUE, FILTER($E$2:$E1000 &amp; $C$2:$C1000, $A$2:$A1000=A518, $B$2:$B1000=B518, $D$2:$D1000&lt;&gt;D518))"),"#N/A")</f>
        <v>#N/A</v>
      </c>
    </row>
    <row r="519">
      <c r="J519" s="6"/>
      <c r="K519" s="6"/>
      <c r="N519" s="4" t="str">
        <f>IFERROR(__xludf.DUMMYFUNCTION("TEXTJOIN("","", TRUE, FILTER($E$2:$E1000 &amp; $C$2:$C1000, $A$2:$A1000=A519, $B$2:$B1000=B519, $D$2:$D1000&lt;&gt;D519))"),"#N/A")</f>
        <v>#N/A</v>
      </c>
    </row>
    <row r="520">
      <c r="J520" s="6"/>
      <c r="K520" s="6"/>
      <c r="N520" s="4" t="str">
        <f>IFERROR(__xludf.DUMMYFUNCTION("TEXTJOIN("","", TRUE, FILTER($E$2:$E1000 &amp; $C$2:$C1000, $A$2:$A1000=A520, $B$2:$B1000=B520, $D$2:$D1000&lt;&gt;D520))"),"#N/A")</f>
        <v>#N/A</v>
      </c>
    </row>
    <row r="521">
      <c r="J521" s="6"/>
      <c r="K521" s="6"/>
      <c r="N521" s="4" t="str">
        <f>IFERROR(__xludf.DUMMYFUNCTION("TEXTJOIN("","", TRUE, FILTER($E$2:$E1000 &amp; $C$2:$C1000, $A$2:$A1000=A521, $B$2:$B1000=B521, $D$2:$D1000&lt;&gt;D521))"),"#N/A")</f>
        <v>#N/A</v>
      </c>
    </row>
    <row r="522">
      <c r="J522" s="6"/>
      <c r="K522" s="6"/>
      <c r="N522" s="4" t="str">
        <f>IFERROR(__xludf.DUMMYFUNCTION("TEXTJOIN("","", TRUE, FILTER($E$2:$E1000 &amp; $C$2:$C1000, $A$2:$A1000=A522, $B$2:$B1000=B522, $D$2:$D1000&lt;&gt;D522))"),"#N/A")</f>
        <v>#N/A</v>
      </c>
    </row>
    <row r="523">
      <c r="J523" s="6"/>
      <c r="K523" s="6"/>
      <c r="N523" s="4" t="str">
        <f>IFERROR(__xludf.DUMMYFUNCTION("TEXTJOIN("","", TRUE, FILTER($E$2:$E1000 &amp; $C$2:$C1000, $A$2:$A1000=A523, $B$2:$B1000=B523, $D$2:$D1000&lt;&gt;D523))"),"#N/A")</f>
        <v>#N/A</v>
      </c>
    </row>
    <row r="524">
      <c r="J524" s="6"/>
      <c r="K524" s="6"/>
      <c r="N524" s="4" t="str">
        <f>IFERROR(__xludf.DUMMYFUNCTION("TEXTJOIN("","", TRUE, FILTER($E$2:$E1000 &amp; $C$2:$C1000, $A$2:$A1000=A524, $B$2:$B1000=B524, $D$2:$D1000&lt;&gt;D524))"),"#N/A")</f>
        <v>#N/A</v>
      </c>
    </row>
    <row r="525">
      <c r="J525" s="6"/>
      <c r="K525" s="6"/>
      <c r="N525" s="4" t="str">
        <f>IFERROR(__xludf.DUMMYFUNCTION("TEXTJOIN("","", TRUE, FILTER($E$2:$E1000 &amp; $C$2:$C1000, $A$2:$A1000=A525, $B$2:$B1000=B525, $D$2:$D1000&lt;&gt;D525))"),"#N/A")</f>
        <v>#N/A</v>
      </c>
    </row>
    <row r="526">
      <c r="J526" s="6"/>
      <c r="K526" s="6"/>
      <c r="N526" s="4" t="str">
        <f>IFERROR(__xludf.DUMMYFUNCTION("TEXTJOIN("","", TRUE, FILTER($E$2:$E1000 &amp; $C$2:$C1000, $A$2:$A1000=A526, $B$2:$B1000=B526, $D$2:$D1000&lt;&gt;D526))"),"#N/A")</f>
        <v>#N/A</v>
      </c>
    </row>
    <row r="527">
      <c r="J527" s="6"/>
      <c r="K527" s="6"/>
      <c r="N527" s="4" t="str">
        <f>IFERROR(__xludf.DUMMYFUNCTION("TEXTJOIN("","", TRUE, FILTER($E$2:$E1000 &amp; $C$2:$C1000, $A$2:$A1000=A527, $B$2:$B1000=B527, $D$2:$D1000&lt;&gt;D527))"),"#N/A")</f>
        <v>#N/A</v>
      </c>
    </row>
    <row r="528">
      <c r="J528" s="6"/>
      <c r="K528" s="6"/>
      <c r="N528" s="4" t="str">
        <f>IFERROR(__xludf.DUMMYFUNCTION("TEXTJOIN("","", TRUE, FILTER($E$2:$E1000 &amp; $C$2:$C1000, $A$2:$A1000=A528, $B$2:$B1000=B528, $D$2:$D1000&lt;&gt;D528))"),"#N/A")</f>
        <v>#N/A</v>
      </c>
    </row>
    <row r="529">
      <c r="J529" s="6"/>
      <c r="K529" s="6"/>
      <c r="N529" s="4" t="str">
        <f>IFERROR(__xludf.DUMMYFUNCTION("TEXTJOIN("","", TRUE, FILTER($E$2:$E1000 &amp; $C$2:$C1000, $A$2:$A1000=A529, $B$2:$B1000=B529, $D$2:$D1000&lt;&gt;D529))"),"#N/A")</f>
        <v>#N/A</v>
      </c>
    </row>
    <row r="530">
      <c r="J530" s="6"/>
      <c r="K530" s="6"/>
      <c r="N530" s="4" t="str">
        <f>IFERROR(__xludf.DUMMYFUNCTION("TEXTJOIN("","", TRUE, FILTER($E$2:$E1000 &amp; $C$2:$C1000, $A$2:$A1000=A530, $B$2:$B1000=B530, $D$2:$D1000&lt;&gt;D530))"),"#N/A")</f>
        <v>#N/A</v>
      </c>
    </row>
    <row r="531">
      <c r="J531" s="6"/>
      <c r="K531" s="6"/>
      <c r="N531" s="4" t="str">
        <f>IFERROR(__xludf.DUMMYFUNCTION("TEXTJOIN("","", TRUE, FILTER($E$2:$E1000 &amp; $C$2:$C1000, $A$2:$A1000=A531, $B$2:$B1000=B531, $D$2:$D1000&lt;&gt;D531))"),"#N/A")</f>
        <v>#N/A</v>
      </c>
    </row>
    <row r="532">
      <c r="J532" s="6"/>
      <c r="K532" s="6"/>
      <c r="N532" s="4" t="str">
        <f>IFERROR(__xludf.DUMMYFUNCTION("TEXTJOIN("","", TRUE, FILTER($E$2:$E1000 &amp; $C$2:$C1000, $A$2:$A1000=A532, $B$2:$B1000=B532, $D$2:$D1000&lt;&gt;D532))"),"#N/A")</f>
        <v>#N/A</v>
      </c>
    </row>
    <row r="533">
      <c r="J533" s="6"/>
      <c r="K533" s="6"/>
      <c r="N533" s="4" t="str">
        <f>IFERROR(__xludf.DUMMYFUNCTION("TEXTJOIN("","", TRUE, FILTER($E$2:$E1000 &amp; $C$2:$C1000, $A$2:$A1000=A533, $B$2:$B1000=B533, $D$2:$D1000&lt;&gt;D533))"),"#N/A")</f>
        <v>#N/A</v>
      </c>
    </row>
    <row r="534">
      <c r="J534" s="6"/>
      <c r="K534" s="6"/>
      <c r="N534" s="4" t="str">
        <f>IFERROR(__xludf.DUMMYFUNCTION("TEXTJOIN("","", TRUE, FILTER($E$2:$E1000 &amp; $C$2:$C1000, $A$2:$A1000=A534, $B$2:$B1000=B534, $D$2:$D1000&lt;&gt;D534))"),"#N/A")</f>
        <v>#N/A</v>
      </c>
    </row>
    <row r="535">
      <c r="J535" s="6"/>
      <c r="K535" s="6"/>
      <c r="N535" s="4" t="str">
        <f>IFERROR(__xludf.DUMMYFUNCTION("TEXTJOIN("","", TRUE, FILTER($E$2:$E1000 &amp; $C$2:$C1000, $A$2:$A1000=A535, $B$2:$B1000=B535, $D$2:$D1000&lt;&gt;D535))"),"#N/A")</f>
        <v>#N/A</v>
      </c>
    </row>
    <row r="536">
      <c r="J536" s="6"/>
      <c r="K536" s="6"/>
      <c r="N536" s="4" t="str">
        <f>IFERROR(__xludf.DUMMYFUNCTION("TEXTJOIN("","", TRUE, FILTER($E$2:$E1000 &amp; $C$2:$C1000, $A$2:$A1000=A536, $B$2:$B1000=B536, $D$2:$D1000&lt;&gt;D536))"),"#N/A")</f>
        <v>#N/A</v>
      </c>
    </row>
    <row r="537">
      <c r="J537" s="6"/>
      <c r="K537" s="6"/>
      <c r="N537" s="4" t="str">
        <f>IFERROR(__xludf.DUMMYFUNCTION("TEXTJOIN("","", TRUE, FILTER($E$2:$E1000 &amp; $C$2:$C1000, $A$2:$A1000=A537, $B$2:$B1000=B537, $D$2:$D1000&lt;&gt;D537))"),"#N/A")</f>
        <v>#N/A</v>
      </c>
    </row>
    <row r="538">
      <c r="J538" s="6"/>
      <c r="K538" s="6"/>
      <c r="N538" s="4" t="str">
        <f>IFERROR(__xludf.DUMMYFUNCTION("TEXTJOIN("","", TRUE, FILTER($E$2:$E1000 &amp; $C$2:$C1000, $A$2:$A1000=A538, $B$2:$B1000=B538, $D$2:$D1000&lt;&gt;D538))"),"#N/A")</f>
        <v>#N/A</v>
      </c>
    </row>
    <row r="539">
      <c r="J539" s="6"/>
      <c r="K539" s="6"/>
      <c r="N539" s="4" t="str">
        <f>IFERROR(__xludf.DUMMYFUNCTION("TEXTJOIN("","", TRUE, FILTER($E$2:$E1000 &amp; $C$2:$C1000, $A$2:$A1000=A539, $B$2:$B1000=B539, $D$2:$D1000&lt;&gt;D539))"),"#N/A")</f>
        <v>#N/A</v>
      </c>
    </row>
    <row r="540">
      <c r="J540" s="6"/>
      <c r="K540" s="6"/>
      <c r="N540" s="4" t="str">
        <f>IFERROR(__xludf.DUMMYFUNCTION("TEXTJOIN("","", TRUE, FILTER($E$2:$E1000 &amp; $C$2:$C1000, $A$2:$A1000=A540, $B$2:$B1000=B540, $D$2:$D1000&lt;&gt;D540))"),"#N/A")</f>
        <v>#N/A</v>
      </c>
    </row>
    <row r="541">
      <c r="J541" s="6"/>
      <c r="K541" s="6"/>
      <c r="N541" s="4" t="str">
        <f>IFERROR(__xludf.DUMMYFUNCTION("TEXTJOIN("","", TRUE, FILTER($E$2:$E1000 &amp; $C$2:$C1000, $A$2:$A1000=A541, $B$2:$B1000=B541, $D$2:$D1000&lt;&gt;D541))"),"#N/A")</f>
        <v>#N/A</v>
      </c>
    </row>
    <row r="542">
      <c r="J542" s="6"/>
      <c r="K542" s="6"/>
      <c r="N542" s="4" t="str">
        <f>IFERROR(__xludf.DUMMYFUNCTION("TEXTJOIN("","", TRUE, FILTER($E$2:$E1000 &amp; $C$2:$C1000, $A$2:$A1000=A542, $B$2:$B1000=B542, $D$2:$D1000&lt;&gt;D542))"),"#N/A")</f>
        <v>#N/A</v>
      </c>
    </row>
    <row r="543">
      <c r="J543" s="6"/>
      <c r="K543" s="6"/>
      <c r="N543" s="4" t="str">
        <f>IFERROR(__xludf.DUMMYFUNCTION("TEXTJOIN("","", TRUE, FILTER($E$2:$E1000 &amp; $C$2:$C1000, $A$2:$A1000=A543, $B$2:$B1000=B543, $D$2:$D1000&lt;&gt;D543))"),"#N/A")</f>
        <v>#N/A</v>
      </c>
    </row>
    <row r="544">
      <c r="J544" s="6"/>
      <c r="K544" s="6"/>
      <c r="N544" s="4" t="str">
        <f>IFERROR(__xludf.DUMMYFUNCTION("TEXTJOIN("","", TRUE, FILTER($E$2:$E1000 &amp; $C$2:$C1000, $A$2:$A1000=A544, $B$2:$B1000=B544, $D$2:$D1000&lt;&gt;D544))"),"#N/A")</f>
        <v>#N/A</v>
      </c>
    </row>
    <row r="545">
      <c r="J545" s="6"/>
      <c r="K545" s="6"/>
      <c r="N545" s="4" t="str">
        <f>IFERROR(__xludf.DUMMYFUNCTION("TEXTJOIN("","", TRUE, FILTER($E$2:$E1000 &amp; $C$2:$C1000, $A$2:$A1000=A545, $B$2:$B1000=B545, $D$2:$D1000&lt;&gt;D545))"),"#N/A")</f>
        <v>#N/A</v>
      </c>
    </row>
    <row r="546">
      <c r="J546" s="6"/>
      <c r="K546" s="6"/>
      <c r="N546" s="4" t="str">
        <f>IFERROR(__xludf.DUMMYFUNCTION("TEXTJOIN("","", TRUE, FILTER($E$2:$E1000 &amp; $C$2:$C1000, $A$2:$A1000=A546, $B$2:$B1000=B546, $D$2:$D1000&lt;&gt;D546))"),"#N/A")</f>
        <v>#N/A</v>
      </c>
    </row>
    <row r="547">
      <c r="J547" s="6"/>
      <c r="K547" s="6"/>
      <c r="N547" s="4" t="str">
        <f>IFERROR(__xludf.DUMMYFUNCTION("TEXTJOIN("","", TRUE, FILTER($E$2:$E1000 &amp; $C$2:$C1000, $A$2:$A1000=A547, $B$2:$B1000=B547, $D$2:$D1000&lt;&gt;D547))"),"#N/A")</f>
        <v>#N/A</v>
      </c>
    </row>
    <row r="548">
      <c r="J548" s="6"/>
      <c r="K548" s="6"/>
      <c r="N548" s="4" t="str">
        <f>IFERROR(__xludf.DUMMYFUNCTION("TEXTJOIN("","", TRUE, FILTER($E$2:$E1000 &amp; $C$2:$C1000, $A$2:$A1000=A548, $B$2:$B1000=B548, $D$2:$D1000&lt;&gt;D548))"),"#N/A")</f>
        <v>#N/A</v>
      </c>
    </row>
    <row r="549">
      <c r="J549" s="6"/>
      <c r="K549" s="6"/>
      <c r="N549" s="4" t="str">
        <f>IFERROR(__xludf.DUMMYFUNCTION("TEXTJOIN("","", TRUE, FILTER($E$2:$E1000 &amp; $C$2:$C1000, $A$2:$A1000=A549, $B$2:$B1000=B549, $D$2:$D1000&lt;&gt;D549))"),"#N/A")</f>
        <v>#N/A</v>
      </c>
    </row>
    <row r="550">
      <c r="J550" s="6"/>
      <c r="K550" s="6"/>
      <c r="N550" s="4" t="str">
        <f>IFERROR(__xludf.DUMMYFUNCTION("TEXTJOIN("","", TRUE, FILTER($E$2:$E1000 &amp; $C$2:$C1000, $A$2:$A1000=A550, $B$2:$B1000=B550, $D$2:$D1000&lt;&gt;D550))"),"#N/A")</f>
        <v>#N/A</v>
      </c>
    </row>
    <row r="551">
      <c r="J551" s="6"/>
      <c r="K551" s="6"/>
      <c r="N551" s="4" t="str">
        <f>IFERROR(__xludf.DUMMYFUNCTION("TEXTJOIN("","", TRUE, FILTER($E$2:$E1000 &amp; $C$2:$C1000, $A$2:$A1000=A551, $B$2:$B1000=B551, $D$2:$D1000&lt;&gt;D551))"),"#N/A")</f>
        <v>#N/A</v>
      </c>
    </row>
    <row r="552">
      <c r="J552" s="6"/>
      <c r="K552" s="6"/>
      <c r="N552" s="4" t="str">
        <f>IFERROR(__xludf.DUMMYFUNCTION("TEXTJOIN("","", TRUE, FILTER($E$2:$E1000 &amp; $C$2:$C1000, $A$2:$A1000=A552, $B$2:$B1000=B552, $D$2:$D1000&lt;&gt;D552))"),"#N/A")</f>
        <v>#N/A</v>
      </c>
    </row>
    <row r="553">
      <c r="J553" s="6"/>
      <c r="K553" s="6"/>
      <c r="N553" s="4" t="str">
        <f>IFERROR(__xludf.DUMMYFUNCTION("TEXTJOIN("","", TRUE, FILTER($E$2:$E1000 &amp; $C$2:$C1000, $A$2:$A1000=A553, $B$2:$B1000=B553, $D$2:$D1000&lt;&gt;D553))"),"#N/A")</f>
        <v>#N/A</v>
      </c>
    </row>
    <row r="554">
      <c r="J554" s="6"/>
      <c r="K554" s="6"/>
      <c r="N554" s="4" t="str">
        <f>IFERROR(__xludf.DUMMYFUNCTION("TEXTJOIN("","", TRUE, FILTER($E$2:$E1000 &amp; $C$2:$C1000, $A$2:$A1000=A554, $B$2:$B1000=B554, $D$2:$D1000&lt;&gt;D554))"),"#N/A")</f>
        <v>#N/A</v>
      </c>
    </row>
    <row r="555">
      <c r="J555" s="6"/>
      <c r="K555" s="6"/>
      <c r="N555" s="4" t="str">
        <f>IFERROR(__xludf.DUMMYFUNCTION("TEXTJOIN("","", TRUE, FILTER($E$2:$E1000 &amp; $C$2:$C1000, $A$2:$A1000=A555, $B$2:$B1000=B555, $D$2:$D1000&lt;&gt;D555))"),"#N/A")</f>
        <v>#N/A</v>
      </c>
    </row>
    <row r="556">
      <c r="J556" s="6"/>
      <c r="K556" s="6"/>
      <c r="N556" s="4" t="str">
        <f>IFERROR(__xludf.DUMMYFUNCTION("TEXTJOIN("","", TRUE, FILTER($E$2:$E1000 &amp; $C$2:$C1000, $A$2:$A1000=A556, $B$2:$B1000=B556, $D$2:$D1000&lt;&gt;D556))"),"#N/A")</f>
        <v>#N/A</v>
      </c>
    </row>
    <row r="557">
      <c r="J557" s="6"/>
      <c r="K557" s="6"/>
      <c r="N557" s="4" t="str">
        <f>IFERROR(__xludf.DUMMYFUNCTION("TEXTJOIN("","", TRUE, FILTER($E$2:$E1000 &amp; $C$2:$C1000, $A$2:$A1000=A557, $B$2:$B1000=B557, $D$2:$D1000&lt;&gt;D557))"),"#N/A")</f>
        <v>#N/A</v>
      </c>
    </row>
    <row r="558">
      <c r="J558" s="6"/>
      <c r="K558" s="6"/>
      <c r="N558" s="4" t="str">
        <f>IFERROR(__xludf.DUMMYFUNCTION("TEXTJOIN("","", TRUE, FILTER($E$2:$E1000 &amp; $C$2:$C1000, $A$2:$A1000=A558, $B$2:$B1000=B558, $D$2:$D1000&lt;&gt;D558))"),"#N/A")</f>
        <v>#N/A</v>
      </c>
    </row>
    <row r="559">
      <c r="J559" s="6"/>
      <c r="K559" s="6"/>
      <c r="N559" s="4" t="str">
        <f>IFERROR(__xludf.DUMMYFUNCTION("TEXTJOIN("","", TRUE, FILTER($E$2:$E1000 &amp; $C$2:$C1000, $A$2:$A1000=A559, $B$2:$B1000=B559, $D$2:$D1000&lt;&gt;D559))"),"#N/A")</f>
        <v>#N/A</v>
      </c>
    </row>
    <row r="560">
      <c r="J560" s="6"/>
      <c r="K560" s="6"/>
      <c r="N560" s="4" t="str">
        <f>IFERROR(__xludf.DUMMYFUNCTION("TEXTJOIN("","", TRUE, FILTER($E$2:$E1000 &amp; $C$2:$C1000, $A$2:$A1000=A560, $B$2:$B1000=B560, $D$2:$D1000&lt;&gt;D560))"),"#N/A")</f>
        <v>#N/A</v>
      </c>
    </row>
    <row r="561">
      <c r="J561" s="6"/>
      <c r="K561" s="6"/>
      <c r="N561" s="4" t="str">
        <f>IFERROR(__xludf.DUMMYFUNCTION("TEXTJOIN("","", TRUE, FILTER($E$2:$E1000 &amp; $C$2:$C1000, $A$2:$A1000=A561, $B$2:$B1000=B561, $D$2:$D1000&lt;&gt;D561))"),"#N/A")</f>
        <v>#N/A</v>
      </c>
    </row>
    <row r="562">
      <c r="J562" s="6"/>
      <c r="K562" s="6"/>
      <c r="N562" s="4" t="str">
        <f>IFERROR(__xludf.DUMMYFUNCTION("TEXTJOIN("","", TRUE, FILTER($E$2:$E1000 &amp; $C$2:$C1000, $A$2:$A1000=A562, $B$2:$B1000=B562, $D$2:$D1000&lt;&gt;D562))"),"#N/A")</f>
        <v>#N/A</v>
      </c>
    </row>
    <row r="563">
      <c r="J563" s="6"/>
      <c r="K563" s="6"/>
      <c r="N563" s="4" t="str">
        <f>IFERROR(__xludf.DUMMYFUNCTION("TEXTJOIN("","", TRUE, FILTER($E$2:$E1000 &amp; $C$2:$C1000, $A$2:$A1000=A563, $B$2:$B1000=B563, $D$2:$D1000&lt;&gt;D563))"),"#N/A")</f>
        <v>#N/A</v>
      </c>
    </row>
    <row r="564">
      <c r="J564" s="6"/>
      <c r="K564" s="6"/>
      <c r="N564" s="4" t="str">
        <f>IFERROR(__xludf.DUMMYFUNCTION("TEXTJOIN("","", TRUE, FILTER($E$2:$E1000 &amp; $C$2:$C1000, $A$2:$A1000=A564, $B$2:$B1000=B564, $D$2:$D1000&lt;&gt;D564))"),"#N/A")</f>
        <v>#N/A</v>
      </c>
    </row>
    <row r="565">
      <c r="J565" s="6"/>
      <c r="K565" s="6"/>
      <c r="N565" s="4" t="str">
        <f>IFERROR(__xludf.DUMMYFUNCTION("TEXTJOIN("","", TRUE, FILTER($E$2:$E1000 &amp; $C$2:$C1000, $A$2:$A1000=A565, $B$2:$B1000=B565, $D$2:$D1000&lt;&gt;D565))"),"#N/A")</f>
        <v>#N/A</v>
      </c>
    </row>
    <row r="566">
      <c r="J566" s="6"/>
      <c r="K566" s="6"/>
      <c r="N566" s="4" t="str">
        <f>IFERROR(__xludf.DUMMYFUNCTION("TEXTJOIN("","", TRUE, FILTER($E$2:$E1000 &amp; $C$2:$C1000, $A$2:$A1000=A566, $B$2:$B1000=B566, $D$2:$D1000&lt;&gt;D566))"),"#N/A")</f>
        <v>#N/A</v>
      </c>
    </row>
    <row r="567">
      <c r="J567" s="6"/>
      <c r="K567" s="6"/>
      <c r="N567" s="4" t="str">
        <f>IFERROR(__xludf.DUMMYFUNCTION("TEXTJOIN("","", TRUE, FILTER($E$2:$E1000 &amp; $C$2:$C1000, $A$2:$A1000=A567, $B$2:$B1000=B567, $D$2:$D1000&lt;&gt;D567))"),"#N/A")</f>
        <v>#N/A</v>
      </c>
    </row>
    <row r="568">
      <c r="J568" s="6"/>
      <c r="K568" s="6"/>
      <c r="N568" s="4" t="str">
        <f>IFERROR(__xludf.DUMMYFUNCTION("TEXTJOIN("","", TRUE, FILTER($E$2:$E1000 &amp; $C$2:$C1000, $A$2:$A1000=A568, $B$2:$B1000=B568, $D$2:$D1000&lt;&gt;D568))"),"#N/A")</f>
        <v>#N/A</v>
      </c>
    </row>
    <row r="569">
      <c r="J569" s="6"/>
      <c r="K569" s="6"/>
      <c r="N569" s="4" t="str">
        <f>IFERROR(__xludf.DUMMYFUNCTION("TEXTJOIN("","", TRUE, FILTER($E$2:$E1000 &amp; $C$2:$C1000, $A$2:$A1000=A569, $B$2:$B1000=B569, $D$2:$D1000&lt;&gt;D569))"),"#N/A")</f>
        <v>#N/A</v>
      </c>
    </row>
    <row r="570">
      <c r="J570" s="6"/>
      <c r="K570" s="6"/>
      <c r="N570" s="4" t="str">
        <f>IFERROR(__xludf.DUMMYFUNCTION("TEXTJOIN("","", TRUE, FILTER($E$2:$E1000 &amp; $C$2:$C1000, $A$2:$A1000=A570, $B$2:$B1000=B570, $D$2:$D1000&lt;&gt;D570))"),"#N/A")</f>
        <v>#N/A</v>
      </c>
    </row>
    <row r="571">
      <c r="J571" s="6"/>
      <c r="K571" s="6"/>
      <c r="N571" s="4" t="str">
        <f>IFERROR(__xludf.DUMMYFUNCTION("TEXTJOIN("","", TRUE, FILTER($E$2:$E1000 &amp; $C$2:$C1000, $A$2:$A1000=A571, $B$2:$B1000=B571, $D$2:$D1000&lt;&gt;D571))"),"#N/A")</f>
        <v>#N/A</v>
      </c>
    </row>
    <row r="572">
      <c r="J572" s="6"/>
      <c r="K572" s="6"/>
      <c r="N572" s="4" t="str">
        <f>IFERROR(__xludf.DUMMYFUNCTION("TEXTJOIN("","", TRUE, FILTER($E$2:$E1000 &amp; $C$2:$C1000, $A$2:$A1000=A572, $B$2:$B1000=B572, $D$2:$D1000&lt;&gt;D572))"),"#N/A")</f>
        <v>#N/A</v>
      </c>
    </row>
    <row r="573">
      <c r="J573" s="6"/>
      <c r="K573" s="6"/>
      <c r="N573" s="4" t="str">
        <f>IFERROR(__xludf.DUMMYFUNCTION("TEXTJOIN("","", TRUE, FILTER($E$2:$E1000 &amp; $C$2:$C1000, $A$2:$A1000=A573, $B$2:$B1000=B573, $D$2:$D1000&lt;&gt;D573))"),"#N/A")</f>
        <v>#N/A</v>
      </c>
    </row>
    <row r="574">
      <c r="J574" s="6"/>
      <c r="K574" s="6"/>
      <c r="N574" s="4" t="str">
        <f>IFERROR(__xludf.DUMMYFUNCTION("TEXTJOIN("","", TRUE, FILTER($E$2:$E1000 &amp; $C$2:$C1000, $A$2:$A1000=A574, $B$2:$B1000=B574, $D$2:$D1000&lt;&gt;D574))"),"#N/A")</f>
        <v>#N/A</v>
      </c>
    </row>
    <row r="575">
      <c r="J575" s="6"/>
      <c r="K575" s="6"/>
      <c r="N575" s="4" t="str">
        <f>IFERROR(__xludf.DUMMYFUNCTION("TEXTJOIN("","", TRUE, FILTER($E$2:$E1000 &amp; $C$2:$C1000, $A$2:$A1000=A575, $B$2:$B1000=B575, $D$2:$D1000&lt;&gt;D575))"),"#N/A")</f>
        <v>#N/A</v>
      </c>
    </row>
    <row r="576">
      <c r="J576" s="6"/>
      <c r="K576" s="6"/>
      <c r="N576" s="4" t="str">
        <f>IFERROR(__xludf.DUMMYFUNCTION("TEXTJOIN("","", TRUE, FILTER($E$2:$E1000 &amp; $C$2:$C1000, $A$2:$A1000=A576, $B$2:$B1000=B576, $D$2:$D1000&lt;&gt;D576))"),"#N/A")</f>
        <v>#N/A</v>
      </c>
    </row>
    <row r="577">
      <c r="J577" s="6"/>
      <c r="K577" s="6"/>
      <c r="N577" s="4" t="str">
        <f>IFERROR(__xludf.DUMMYFUNCTION("TEXTJOIN("","", TRUE, FILTER($E$2:$E1000 &amp; $C$2:$C1000, $A$2:$A1000=A577, $B$2:$B1000=B577, $D$2:$D1000&lt;&gt;D577))"),"#N/A")</f>
        <v>#N/A</v>
      </c>
    </row>
    <row r="578">
      <c r="J578" s="6"/>
      <c r="K578" s="6"/>
      <c r="N578" s="4" t="str">
        <f>IFERROR(__xludf.DUMMYFUNCTION("TEXTJOIN("","", TRUE, FILTER($E$2:$E1000 &amp; $C$2:$C1000, $A$2:$A1000=A578, $B$2:$B1000=B578, $D$2:$D1000&lt;&gt;D578))"),"#N/A")</f>
        <v>#N/A</v>
      </c>
    </row>
    <row r="579">
      <c r="J579" s="6"/>
      <c r="K579" s="6"/>
      <c r="N579" s="4" t="str">
        <f>IFERROR(__xludf.DUMMYFUNCTION("TEXTJOIN("","", TRUE, FILTER($E$2:$E1000 &amp; $C$2:$C1000, $A$2:$A1000=A579, $B$2:$B1000=B579, $D$2:$D1000&lt;&gt;D579))"),"#N/A")</f>
        <v>#N/A</v>
      </c>
    </row>
    <row r="580">
      <c r="J580" s="6"/>
      <c r="K580" s="6"/>
      <c r="N580" s="4" t="str">
        <f>IFERROR(__xludf.DUMMYFUNCTION("TEXTJOIN("","", TRUE, FILTER($E$2:$E1000 &amp; $C$2:$C1000, $A$2:$A1000=A580, $B$2:$B1000=B580, $D$2:$D1000&lt;&gt;D580))"),"#N/A")</f>
        <v>#N/A</v>
      </c>
    </row>
    <row r="581">
      <c r="J581" s="6"/>
      <c r="K581" s="6"/>
      <c r="N581" s="4" t="str">
        <f>IFERROR(__xludf.DUMMYFUNCTION("TEXTJOIN("","", TRUE, FILTER($E$2:$E1000 &amp; $C$2:$C1000, $A$2:$A1000=A581, $B$2:$B1000=B581, $D$2:$D1000&lt;&gt;D581))"),"#N/A")</f>
        <v>#N/A</v>
      </c>
    </row>
    <row r="582">
      <c r="J582" s="6"/>
      <c r="K582" s="6"/>
      <c r="N582" s="4" t="str">
        <f>IFERROR(__xludf.DUMMYFUNCTION("TEXTJOIN("","", TRUE, FILTER($E$2:$E1000 &amp; $C$2:$C1000, $A$2:$A1000=A582, $B$2:$B1000=B582, $D$2:$D1000&lt;&gt;D582))"),"#N/A")</f>
        <v>#N/A</v>
      </c>
    </row>
    <row r="583">
      <c r="J583" s="6"/>
      <c r="K583" s="6"/>
      <c r="N583" s="4" t="str">
        <f>IFERROR(__xludf.DUMMYFUNCTION("TEXTJOIN("","", TRUE, FILTER($E$2:$E1000 &amp; $C$2:$C1000, $A$2:$A1000=A583, $B$2:$B1000=B583, $D$2:$D1000&lt;&gt;D583))"),"#N/A")</f>
        <v>#N/A</v>
      </c>
    </row>
    <row r="584">
      <c r="J584" s="6"/>
      <c r="K584" s="6"/>
      <c r="N584" s="4" t="str">
        <f>IFERROR(__xludf.DUMMYFUNCTION("TEXTJOIN("","", TRUE, FILTER($E$2:$E1000 &amp; $C$2:$C1000, $A$2:$A1000=A584, $B$2:$B1000=B584, $D$2:$D1000&lt;&gt;D584))"),"#N/A")</f>
        <v>#N/A</v>
      </c>
    </row>
    <row r="585">
      <c r="J585" s="6"/>
      <c r="K585" s="6"/>
      <c r="N585" s="4" t="str">
        <f>IFERROR(__xludf.DUMMYFUNCTION("TEXTJOIN("","", TRUE, FILTER($E$2:$E1000 &amp; $C$2:$C1000, $A$2:$A1000=A585, $B$2:$B1000=B585, $D$2:$D1000&lt;&gt;D585))"),"#N/A")</f>
        <v>#N/A</v>
      </c>
    </row>
    <row r="586">
      <c r="J586" s="6"/>
      <c r="K586" s="6"/>
      <c r="N586" s="4" t="str">
        <f>IFERROR(__xludf.DUMMYFUNCTION("TEXTJOIN("","", TRUE, FILTER($E$2:$E1000 &amp; $C$2:$C1000, $A$2:$A1000=A586, $B$2:$B1000=B586, $D$2:$D1000&lt;&gt;D586))"),"#N/A")</f>
        <v>#N/A</v>
      </c>
    </row>
    <row r="587">
      <c r="J587" s="6"/>
      <c r="K587" s="6"/>
      <c r="N587" s="4" t="str">
        <f>IFERROR(__xludf.DUMMYFUNCTION("TEXTJOIN("","", TRUE, FILTER($E$2:$E1000 &amp; $C$2:$C1000, $A$2:$A1000=A587, $B$2:$B1000=B587, $D$2:$D1000&lt;&gt;D587))"),"#N/A")</f>
        <v>#N/A</v>
      </c>
    </row>
    <row r="588">
      <c r="J588" s="6"/>
      <c r="K588" s="6"/>
      <c r="N588" s="4" t="str">
        <f>IFERROR(__xludf.DUMMYFUNCTION("TEXTJOIN("","", TRUE, FILTER($E$2:$E1000 &amp; $C$2:$C1000, $A$2:$A1000=A588, $B$2:$B1000=B588, $D$2:$D1000&lt;&gt;D588))"),"#N/A")</f>
        <v>#N/A</v>
      </c>
    </row>
    <row r="589">
      <c r="J589" s="6"/>
      <c r="K589" s="6"/>
      <c r="N589" s="4" t="str">
        <f>IFERROR(__xludf.DUMMYFUNCTION("TEXTJOIN("","", TRUE, FILTER($E$2:$E1000 &amp; $C$2:$C1000, $A$2:$A1000=A589, $B$2:$B1000=B589, $D$2:$D1000&lt;&gt;D589))"),"#N/A")</f>
        <v>#N/A</v>
      </c>
    </row>
    <row r="590">
      <c r="J590" s="6"/>
      <c r="K590" s="6"/>
      <c r="N590" s="4" t="str">
        <f>IFERROR(__xludf.DUMMYFUNCTION("TEXTJOIN("","", TRUE, FILTER($E$2:$E1000 &amp; $C$2:$C1000, $A$2:$A1000=A590, $B$2:$B1000=B590, $D$2:$D1000&lt;&gt;D590))"),"#N/A")</f>
        <v>#N/A</v>
      </c>
    </row>
    <row r="591">
      <c r="J591" s="6"/>
      <c r="K591" s="6"/>
      <c r="N591" s="4" t="str">
        <f>IFERROR(__xludf.DUMMYFUNCTION("TEXTJOIN("","", TRUE, FILTER($E$2:$E1000 &amp; $C$2:$C1000, $A$2:$A1000=A591, $B$2:$B1000=B591, $D$2:$D1000&lt;&gt;D591))"),"#N/A")</f>
        <v>#N/A</v>
      </c>
    </row>
    <row r="592">
      <c r="J592" s="6"/>
      <c r="K592" s="6"/>
      <c r="N592" s="4" t="str">
        <f>IFERROR(__xludf.DUMMYFUNCTION("TEXTJOIN("","", TRUE, FILTER($E$2:$E1000 &amp; $C$2:$C1000, $A$2:$A1000=A592, $B$2:$B1000=B592, $D$2:$D1000&lt;&gt;D592))"),"#N/A")</f>
        <v>#N/A</v>
      </c>
    </row>
    <row r="593">
      <c r="J593" s="6"/>
      <c r="K593" s="6"/>
      <c r="N593" s="4" t="str">
        <f>IFERROR(__xludf.DUMMYFUNCTION("TEXTJOIN("","", TRUE, FILTER($E$2:$E1000 &amp; $C$2:$C1000, $A$2:$A1000=A593, $B$2:$B1000=B593, $D$2:$D1000&lt;&gt;D593))"),"#N/A")</f>
        <v>#N/A</v>
      </c>
    </row>
    <row r="594">
      <c r="J594" s="6"/>
      <c r="K594" s="6"/>
      <c r="N594" s="4" t="str">
        <f>IFERROR(__xludf.DUMMYFUNCTION("TEXTJOIN("","", TRUE, FILTER($E$2:$E1000 &amp; $C$2:$C1000, $A$2:$A1000=A594, $B$2:$B1000=B594, $D$2:$D1000&lt;&gt;D594))"),"#N/A")</f>
        <v>#N/A</v>
      </c>
    </row>
    <row r="595">
      <c r="J595" s="6"/>
      <c r="K595" s="6"/>
      <c r="N595" s="4" t="str">
        <f>IFERROR(__xludf.DUMMYFUNCTION("TEXTJOIN("","", TRUE, FILTER($E$2:$E1000 &amp; $C$2:$C1000, $A$2:$A1000=A595, $B$2:$B1000=B595, $D$2:$D1000&lt;&gt;D595))"),"#N/A")</f>
        <v>#N/A</v>
      </c>
    </row>
    <row r="596">
      <c r="J596" s="6"/>
      <c r="K596" s="6"/>
      <c r="N596" s="4" t="str">
        <f>IFERROR(__xludf.DUMMYFUNCTION("TEXTJOIN("","", TRUE, FILTER($E$2:$E1000 &amp; $C$2:$C1000, $A$2:$A1000=A596, $B$2:$B1000=B596, $D$2:$D1000&lt;&gt;D596))"),"#N/A")</f>
        <v>#N/A</v>
      </c>
    </row>
    <row r="597">
      <c r="J597" s="6"/>
      <c r="K597" s="6"/>
      <c r="N597" s="4" t="str">
        <f>IFERROR(__xludf.DUMMYFUNCTION("TEXTJOIN("","", TRUE, FILTER($E$2:$E1000 &amp; $C$2:$C1000, $A$2:$A1000=A597, $B$2:$B1000=B597, $D$2:$D1000&lt;&gt;D597))"),"#N/A")</f>
        <v>#N/A</v>
      </c>
    </row>
    <row r="598">
      <c r="J598" s="6"/>
      <c r="K598" s="6"/>
      <c r="N598" s="4" t="str">
        <f>IFERROR(__xludf.DUMMYFUNCTION("TEXTJOIN("","", TRUE, FILTER($E$2:$E1000 &amp; $C$2:$C1000, $A$2:$A1000=A598, $B$2:$B1000=B598, $D$2:$D1000&lt;&gt;D598))"),"#N/A")</f>
        <v>#N/A</v>
      </c>
    </row>
    <row r="599">
      <c r="J599" s="6"/>
      <c r="K599" s="6"/>
      <c r="N599" s="4" t="str">
        <f>IFERROR(__xludf.DUMMYFUNCTION("TEXTJOIN("","", TRUE, FILTER($E$2:$E1000 &amp; $C$2:$C1000, $A$2:$A1000=A599, $B$2:$B1000=B599, $D$2:$D1000&lt;&gt;D599))"),"#N/A")</f>
        <v>#N/A</v>
      </c>
    </row>
    <row r="600">
      <c r="J600" s="6"/>
      <c r="K600" s="6"/>
      <c r="N600" s="4" t="str">
        <f>IFERROR(__xludf.DUMMYFUNCTION("TEXTJOIN("","", TRUE, FILTER($E$2:$E1000 &amp; $C$2:$C1000, $A$2:$A1000=A600, $B$2:$B1000=B600, $D$2:$D1000&lt;&gt;D600))"),"#N/A")</f>
        <v>#N/A</v>
      </c>
    </row>
    <row r="601">
      <c r="J601" s="6"/>
      <c r="K601" s="6"/>
      <c r="N601" s="4" t="str">
        <f>IFERROR(__xludf.DUMMYFUNCTION("TEXTJOIN("","", TRUE, FILTER($E$2:$E1000 &amp; $C$2:$C1000, $A$2:$A1000=A601, $B$2:$B1000=B601, $D$2:$D1000&lt;&gt;D601))"),"#N/A")</f>
        <v>#N/A</v>
      </c>
    </row>
    <row r="602">
      <c r="J602" s="6"/>
      <c r="K602" s="6"/>
      <c r="N602" s="4" t="str">
        <f>IFERROR(__xludf.DUMMYFUNCTION("TEXTJOIN("","", TRUE, FILTER($E$2:$E1000 &amp; $C$2:$C1000, $A$2:$A1000=A602, $B$2:$B1000=B602, $D$2:$D1000&lt;&gt;D602))"),"#N/A")</f>
        <v>#N/A</v>
      </c>
    </row>
    <row r="603">
      <c r="J603" s="6"/>
      <c r="K603" s="6"/>
      <c r="N603" s="4" t="str">
        <f>IFERROR(__xludf.DUMMYFUNCTION("TEXTJOIN("","", TRUE, FILTER($E$2:$E1000 &amp; $C$2:$C1000, $A$2:$A1000=A603, $B$2:$B1000=B603, $D$2:$D1000&lt;&gt;D603))"),"#N/A")</f>
        <v>#N/A</v>
      </c>
    </row>
    <row r="604">
      <c r="J604" s="6"/>
      <c r="K604" s="6"/>
      <c r="N604" s="4" t="str">
        <f>IFERROR(__xludf.DUMMYFUNCTION("TEXTJOIN("","", TRUE, FILTER($E$2:$E1000 &amp; $C$2:$C1000, $A$2:$A1000=A604, $B$2:$B1000=B604, $D$2:$D1000&lt;&gt;D604))"),"#N/A")</f>
        <v>#N/A</v>
      </c>
    </row>
    <row r="605">
      <c r="J605" s="6"/>
      <c r="K605" s="6"/>
      <c r="N605" s="4" t="str">
        <f>IFERROR(__xludf.DUMMYFUNCTION("TEXTJOIN("","", TRUE, FILTER($E$2:$E1000 &amp; $C$2:$C1000, $A$2:$A1000=A605, $B$2:$B1000=B605, $D$2:$D1000&lt;&gt;D605))"),"#N/A")</f>
        <v>#N/A</v>
      </c>
    </row>
    <row r="606">
      <c r="J606" s="6"/>
      <c r="K606" s="6"/>
      <c r="N606" s="4" t="str">
        <f>IFERROR(__xludf.DUMMYFUNCTION("TEXTJOIN("","", TRUE, FILTER($E$2:$E1000 &amp; $C$2:$C1000, $A$2:$A1000=A606, $B$2:$B1000=B606, $D$2:$D1000&lt;&gt;D606))"),"#N/A")</f>
        <v>#N/A</v>
      </c>
    </row>
    <row r="607">
      <c r="J607" s="6"/>
      <c r="K607" s="6"/>
      <c r="N607" s="4" t="str">
        <f>IFERROR(__xludf.DUMMYFUNCTION("TEXTJOIN("","", TRUE, FILTER($E$2:$E1000 &amp; $C$2:$C1000, $A$2:$A1000=A607, $B$2:$B1000=B607, $D$2:$D1000&lt;&gt;D607))"),"#N/A")</f>
        <v>#N/A</v>
      </c>
    </row>
    <row r="608">
      <c r="J608" s="6"/>
      <c r="K608" s="6"/>
      <c r="N608" s="4" t="str">
        <f>IFERROR(__xludf.DUMMYFUNCTION("TEXTJOIN("","", TRUE, FILTER($E$2:$E1000 &amp; $C$2:$C1000, $A$2:$A1000=A608, $B$2:$B1000=B608, $D$2:$D1000&lt;&gt;D608))"),"#N/A")</f>
        <v>#N/A</v>
      </c>
    </row>
    <row r="609">
      <c r="J609" s="6"/>
      <c r="K609" s="6"/>
      <c r="N609" s="4" t="str">
        <f>IFERROR(__xludf.DUMMYFUNCTION("TEXTJOIN("","", TRUE, FILTER($E$2:$E1000 &amp; $C$2:$C1000, $A$2:$A1000=A609, $B$2:$B1000=B609, $D$2:$D1000&lt;&gt;D609))"),"#N/A")</f>
        <v>#N/A</v>
      </c>
    </row>
    <row r="610">
      <c r="J610" s="6"/>
      <c r="K610" s="6"/>
      <c r="N610" s="4" t="str">
        <f>IFERROR(__xludf.DUMMYFUNCTION("TEXTJOIN("","", TRUE, FILTER($E$2:$E1000 &amp; $C$2:$C1000, $A$2:$A1000=A610, $B$2:$B1000=B610, $D$2:$D1000&lt;&gt;D610))"),"#N/A")</f>
        <v>#N/A</v>
      </c>
    </row>
    <row r="611">
      <c r="J611" s="6"/>
      <c r="K611" s="6"/>
      <c r="N611" s="4" t="str">
        <f>IFERROR(__xludf.DUMMYFUNCTION("TEXTJOIN("","", TRUE, FILTER($E$2:$E1000 &amp; $C$2:$C1000, $A$2:$A1000=A611, $B$2:$B1000=B611, $D$2:$D1000&lt;&gt;D611))"),"#N/A")</f>
        <v>#N/A</v>
      </c>
    </row>
    <row r="612">
      <c r="J612" s="6"/>
      <c r="K612" s="6"/>
      <c r="N612" s="4" t="str">
        <f>IFERROR(__xludf.DUMMYFUNCTION("TEXTJOIN("","", TRUE, FILTER($E$2:$E1000 &amp; $C$2:$C1000, $A$2:$A1000=A612, $B$2:$B1000=B612, $D$2:$D1000&lt;&gt;D612))"),"#N/A")</f>
        <v>#N/A</v>
      </c>
    </row>
    <row r="613">
      <c r="J613" s="6"/>
      <c r="K613" s="6"/>
      <c r="N613" s="4" t="str">
        <f>IFERROR(__xludf.DUMMYFUNCTION("TEXTJOIN("","", TRUE, FILTER($E$2:$E1000 &amp; $C$2:$C1000, $A$2:$A1000=A613, $B$2:$B1000=B613, $D$2:$D1000&lt;&gt;D613))"),"#N/A")</f>
        <v>#N/A</v>
      </c>
    </row>
    <row r="614">
      <c r="J614" s="6"/>
      <c r="K614" s="6"/>
      <c r="N614" s="4" t="str">
        <f>IFERROR(__xludf.DUMMYFUNCTION("TEXTJOIN("","", TRUE, FILTER($E$2:$E1000 &amp; $C$2:$C1000, $A$2:$A1000=A614, $B$2:$B1000=B614, $D$2:$D1000&lt;&gt;D614))"),"#N/A")</f>
        <v>#N/A</v>
      </c>
    </row>
    <row r="615">
      <c r="J615" s="6"/>
      <c r="K615" s="6"/>
      <c r="N615" s="4" t="str">
        <f>IFERROR(__xludf.DUMMYFUNCTION("TEXTJOIN("","", TRUE, FILTER($E$2:$E1000 &amp; $C$2:$C1000, $A$2:$A1000=A615, $B$2:$B1000=B615, $D$2:$D1000&lt;&gt;D615))"),"#N/A")</f>
        <v>#N/A</v>
      </c>
    </row>
    <row r="616">
      <c r="J616" s="6"/>
      <c r="K616" s="6"/>
      <c r="N616" s="4" t="str">
        <f>IFERROR(__xludf.DUMMYFUNCTION("TEXTJOIN("","", TRUE, FILTER($E$2:$E1000 &amp; $C$2:$C1000, $A$2:$A1000=A616, $B$2:$B1000=B616, $D$2:$D1000&lt;&gt;D616))"),"#N/A")</f>
        <v>#N/A</v>
      </c>
    </row>
    <row r="617">
      <c r="J617" s="6"/>
      <c r="K617" s="6"/>
      <c r="N617" s="4" t="str">
        <f>IFERROR(__xludf.DUMMYFUNCTION("TEXTJOIN("","", TRUE, FILTER($E$2:$E1000 &amp; $C$2:$C1000, $A$2:$A1000=A617, $B$2:$B1000=B617, $D$2:$D1000&lt;&gt;D617))"),"#N/A")</f>
        <v>#N/A</v>
      </c>
    </row>
    <row r="618">
      <c r="J618" s="6"/>
      <c r="K618" s="6"/>
      <c r="N618" s="4" t="str">
        <f>IFERROR(__xludf.DUMMYFUNCTION("TEXTJOIN("","", TRUE, FILTER($E$2:$E1000 &amp; $C$2:$C1000, $A$2:$A1000=A618, $B$2:$B1000=B618, $D$2:$D1000&lt;&gt;D618))"),"#N/A")</f>
        <v>#N/A</v>
      </c>
    </row>
    <row r="619">
      <c r="J619" s="6"/>
      <c r="K619" s="6"/>
      <c r="N619" s="4" t="str">
        <f>IFERROR(__xludf.DUMMYFUNCTION("TEXTJOIN("","", TRUE, FILTER($E$2:$E1000 &amp; $C$2:$C1000, $A$2:$A1000=A619, $B$2:$B1000=B619, $D$2:$D1000&lt;&gt;D619))"),"#N/A")</f>
        <v>#N/A</v>
      </c>
    </row>
    <row r="620">
      <c r="J620" s="6"/>
      <c r="K620" s="6"/>
      <c r="N620" s="4" t="str">
        <f>IFERROR(__xludf.DUMMYFUNCTION("TEXTJOIN("","", TRUE, FILTER($E$2:$E1000 &amp; $C$2:$C1000, $A$2:$A1000=A620, $B$2:$B1000=B620, $D$2:$D1000&lt;&gt;D620))"),"#N/A")</f>
        <v>#N/A</v>
      </c>
    </row>
    <row r="621">
      <c r="J621" s="6"/>
      <c r="K621" s="6"/>
      <c r="N621" s="4" t="str">
        <f>IFERROR(__xludf.DUMMYFUNCTION("TEXTJOIN("","", TRUE, FILTER($E$2:$E1000 &amp; $C$2:$C1000, $A$2:$A1000=A621, $B$2:$B1000=B621, $D$2:$D1000&lt;&gt;D621))"),"#N/A")</f>
        <v>#N/A</v>
      </c>
    </row>
    <row r="622">
      <c r="J622" s="6"/>
      <c r="K622" s="6"/>
      <c r="N622" s="4" t="str">
        <f>IFERROR(__xludf.DUMMYFUNCTION("TEXTJOIN("","", TRUE, FILTER($E$2:$E1000 &amp; $C$2:$C1000, $A$2:$A1000=A622, $B$2:$B1000=B622, $D$2:$D1000&lt;&gt;D622))"),"#N/A")</f>
        <v>#N/A</v>
      </c>
    </row>
    <row r="623">
      <c r="J623" s="6"/>
      <c r="K623" s="6"/>
      <c r="N623" s="4" t="str">
        <f>IFERROR(__xludf.DUMMYFUNCTION("TEXTJOIN("","", TRUE, FILTER($E$2:$E1000 &amp; $C$2:$C1000, $A$2:$A1000=A623, $B$2:$B1000=B623, $D$2:$D1000&lt;&gt;D623))"),"#N/A")</f>
        <v>#N/A</v>
      </c>
    </row>
    <row r="624">
      <c r="J624" s="6"/>
      <c r="K624" s="6"/>
      <c r="N624" s="4" t="str">
        <f>IFERROR(__xludf.DUMMYFUNCTION("TEXTJOIN("","", TRUE, FILTER($E$2:$E1000 &amp; $C$2:$C1000, $A$2:$A1000=A624, $B$2:$B1000=B624, $D$2:$D1000&lt;&gt;D624))"),"#N/A")</f>
        <v>#N/A</v>
      </c>
    </row>
    <row r="625">
      <c r="J625" s="6"/>
      <c r="K625" s="6"/>
      <c r="N625" s="4" t="str">
        <f>IFERROR(__xludf.DUMMYFUNCTION("TEXTJOIN("","", TRUE, FILTER($E$2:$E1000 &amp; $C$2:$C1000, $A$2:$A1000=A625, $B$2:$B1000=B625, $D$2:$D1000&lt;&gt;D625))"),"#N/A")</f>
        <v>#N/A</v>
      </c>
    </row>
    <row r="626">
      <c r="J626" s="6"/>
      <c r="K626" s="6"/>
      <c r="N626" s="4" t="str">
        <f>IFERROR(__xludf.DUMMYFUNCTION("TEXTJOIN("","", TRUE, FILTER($E$2:$E1000 &amp; $C$2:$C1000, $A$2:$A1000=A626, $B$2:$B1000=B626, $D$2:$D1000&lt;&gt;D626))"),"#N/A")</f>
        <v>#N/A</v>
      </c>
    </row>
    <row r="627">
      <c r="J627" s="6"/>
      <c r="K627" s="6"/>
      <c r="N627" s="4" t="str">
        <f>IFERROR(__xludf.DUMMYFUNCTION("TEXTJOIN("","", TRUE, FILTER($E$2:$E1000 &amp; $C$2:$C1000, $A$2:$A1000=A627, $B$2:$B1000=B627, $D$2:$D1000&lt;&gt;D627))"),"#N/A")</f>
        <v>#N/A</v>
      </c>
    </row>
    <row r="628">
      <c r="J628" s="6"/>
      <c r="K628" s="6"/>
      <c r="N628" s="4" t="str">
        <f>IFERROR(__xludf.DUMMYFUNCTION("TEXTJOIN("","", TRUE, FILTER($E$2:$E1000 &amp; $C$2:$C1000, $A$2:$A1000=A628, $B$2:$B1000=B628, $D$2:$D1000&lt;&gt;D628))"),"#N/A")</f>
        <v>#N/A</v>
      </c>
    </row>
    <row r="629">
      <c r="J629" s="6"/>
      <c r="K629" s="6"/>
      <c r="N629" s="4" t="str">
        <f>IFERROR(__xludf.DUMMYFUNCTION("TEXTJOIN("","", TRUE, FILTER($E$2:$E1000 &amp; $C$2:$C1000, $A$2:$A1000=A629, $B$2:$B1000=B629, $D$2:$D1000&lt;&gt;D629))"),"#N/A")</f>
        <v>#N/A</v>
      </c>
    </row>
    <row r="630">
      <c r="J630" s="6"/>
      <c r="K630" s="6"/>
      <c r="N630" s="4" t="str">
        <f>IFERROR(__xludf.DUMMYFUNCTION("TEXTJOIN("","", TRUE, FILTER($E$2:$E1000 &amp; $C$2:$C1000, $A$2:$A1000=A630, $B$2:$B1000=B630, $D$2:$D1000&lt;&gt;D630))"),"#N/A")</f>
        <v>#N/A</v>
      </c>
    </row>
    <row r="631">
      <c r="J631" s="6"/>
      <c r="K631" s="6"/>
      <c r="N631" s="4" t="str">
        <f>IFERROR(__xludf.DUMMYFUNCTION("TEXTJOIN("","", TRUE, FILTER($E$2:$E1000 &amp; $C$2:$C1000, $A$2:$A1000=A631, $B$2:$B1000=B631, $D$2:$D1000&lt;&gt;D631))"),"#N/A")</f>
        <v>#N/A</v>
      </c>
    </row>
    <row r="632">
      <c r="J632" s="6"/>
      <c r="K632" s="6"/>
      <c r="N632" s="4" t="str">
        <f>IFERROR(__xludf.DUMMYFUNCTION("TEXTJOIN("","", TRUE, FILTER($E$2:$E1000 &amp; $C$2:$C1000, $A$2:$A1000=A632, $B$2:$B1000=B632, $D$2:$D1000&lt;&gt;D632))"),"#N/A")</f>
        <v>#N/A</v>
      </c>
    </row>
    <row r="633">
      <c r="J633" s="6"/>
      <c r="K633" s="6"/>
      <c r="N633" s="4" t="str">
        <f>IFERROR(__xludf.DUMMYFUNCTION("TEXTJOIN("","", TRUE, FILTER($E$2:$E1000 &amp; $C$2:$C1000, $A$2:$A1000=A633, $B$2:$B1000=B633, $D$2:$D1000&lt;&gt;D633))"),"#N/A")</f>
        <v>#N/A</v>
      </c>
    </row>
    <row r="634">
      <c r="J634" s="6"/>
      <c r="K634" s="6"/>
      <c r="N634" s="4" t="str">
        <f>IFERROR(__xludf.DUMMYFUNCTION("TEXTJOIN("","", TRUE, FILTER($E$2:$E1000 &amp; $C$2:$C1000, $A$2:$A1000=A634, $B$2:$B1000=B634, $D$2:$D1000&lt;&gt;D634))"),"#N/A")</f>
        <v>#N/A</v>
      </c>
    </row>
    <row r="635">
      <c r="J635" s="6"/>
      <c r="K635" s="6"/>
      <c r="N635" s="4" t="str">
        <f>IFERROR(__xludf.DUMMYFUNCTION("TEXTJOIN("","", TRUE, FILTER($E$2:$E1000 &amp; $C$2:$C1000, $A$2:$A1000=A635, $B$2:$B1000=B635, $D$2:$D1000&lt;&gt;D635))"),"#N/A")</f>
        <v>#N/A</v>
      </c>
    </row>
    <row r="636">
      <c r="J636" s="6"/>
      <c r="K636" s="6"/>
      <c r="N636" s="4" t="str">
        <f>IFERROR(__xludf.DUMMYFUNCTION("TEXTJOIN("","", TRUE, FILTER($E$2:$E1000 &amp; $C$2:$C1000, $A$2:$A1000=A636, $B$2:$B1000=B636, $D$2:$D1000&lt;&gt;D636))"),"#N/A")</f>
        <v>#N/A</v>
      </c>
    </row>
    <row r="637">
      <c r="J637" s="6"/>
      <c r="K637" s="6"/>
      <c r="N637" s="4" t="str">
        <f>IFERROR(__xludf.DUMMYFUNCTION("TEXTJOIN("","", TRUE, FILTER($E$2:$E1000 &amp; $C$2:$C1000, $A$2:$A1000=A637, $B$2:$B1000=B637, $D$2:$D1000&lt;&gt;D637))"),"#N/A")</f>
        <v>#N/A</v>
      </c>
    </row>
    <row r="638">
      <c r="J638" s="6"/>
      <c r="K638" s="6"/>
      <c r="N638" s="4" t="str">
        <f>IFERROR(__xludf.DUMMYFUNCTION("TEXTJOIN("","", TRUE, FILTER($E$2:$E1000 &amp; $C$2:$C1000, $A$2:$A1000=A638, $B$2:$B1000=B638, $D$2:$D1000&lt;&gt;D638))"),"#N/A")</f>
        <v>#N/A</v>
      </c>
    </row>
    <row r="639">
      <c r="J639" s="6"/>
      <c r="K639" s="6"/>
      <c r="N639" s="4" t="str">
        <f>IFERROR(__xludf.DUMMYFUNCTION("TEXTJOIN("","", TRUE, FILTER($E$2:$E1000 &amp; $C$2:$C1000, $A$2:$A1000=A639, $B$2:$B1000=B639, $D$2:$D1000&lt;&gt;D639))"),"#N/A")</f>
        <v>#N/A</v>
      </c>
    </row>
    <row r="640">
      <c r="J640" s="6"/>
      <c r="K640" s="6"/>
      <c r="N640" s="4" t="str">
        <f>IFERROR(__xludf.DUMMYFUNCTION("TEXTJOIN("","", TRUE, FILTER($E$2:$E1000 &amp; $C$2:$C1000, $A$2:$A1000=A640, $B$2:$B1000=B640, $D$2:$D1000&lt;&gt;D640))"),"#N/A")</f>
        <v>#N/A</v>
      </c>
    </row>
    <row r="641">
      <c r="J641" s="6"/>
      <c r="K641" s="6"/>
      <c r="N641" s="4" t="str">
        <f>IFERROR(__xludf.DUMMYFUNCTION("TEXTJOIN("","", TRUE, FILTER($E$2:$E1000 &amp; $C$2:$C1000, $A$2:$A1000=A641, $B$2:$B1000=B641, $D$2:$D1000&lt;&gt;D641))"),"#N/A")</f>
        <v>#N/A</v>
      </c>
    </row>
    <row r="642">
      <c r="J642" s="6"/>
      <c r="K642" s="6"/>
      <c r="N642" s="4" t="str">
        <f>IFERROR(__xludf.DUMMYFUNCTION("TEXTJOIN("","", TRUE, FILTER($E$2:$E1000 &amp; $C$2:$C1000, $A$2:$A1000=A642, $B$2:$B1000=B642, $D$2:$D1000&lt;&gt;D642))"),"#N/A")</f>
        <v>#N/A</v>
      </c>
    </row>
    <row r="643">
      <c r="J643" s="6"/>
      <c r="K643" s="6"/>
      <c r="N643" s="4" t="str">
        <f>IFERROR(__xludf.DUMMYFUNCTION("TEXTJOIN("","", TRUE, FILTER($E$2:$E1000 &amp; $C$2:$C1000, $A$2:$A1000=A643, $B$2:$B1000=B643, $D$2:$D1000&lt;&gt;D643))"),"#N/A")</f>
        <v>#N/A</v>
      </c>
    </row>
    <row r="644">
      <c r="J644" s="6"/>
      <c r="K644" s="6"/>
      <c r="N644" s="4" t="str">
        <f>IFERROR(__xludf.DUMMYFUNCTION("TEXTJOIN("","", TRUE, FILTER($E$2:$E1000 &amp; $C$2:$C1000, $A$2:$A1000=A644, $B$2:$B1000=B644, $D$2:$D1000&lt;&gt;D644))"),"#N/A")</f>
        <v>#N/A</v>
      </c>
    </row>
    <row r="645">
      <c r="J645" s="6"/>
      <c r="K645" s="6"/>
      <c r="N645" s="4" t="str">
        <f>IFERROR(__xludf.DUMMYFUNCTION("TEXTJOIN("","", TRUE, FILTER($E$2:$E1000 &amp; $C$2:$C1000, $A$2:$A1000=A645, $B$2:$B1000=B645, $D$2:$D1000&lt;&gt;D645))"),"#N/A")</f>
        <v>#N/A</v>
      </c>
    </row>
    <row r="646">
      <c r="J646" s="6"/>
      <c r="K646" s="6"/>
      <c r="N646" s="4" t="str">
        <f>IFERROR(__xludf.DUMMYFUNCTION("TEXTJOIN("","", TRUE, FILTER($E$2:$E1000 &amp; $C$2:$C1000, $A$2:$A1000=A646, $B$2:$B1000=B646, $D$2:$D1000&lt;&gt;D646))"),"#N/A")</f>
        <v>#N/A</v>
      </c>
    </row>
    <row r="647">
      <c r="J647" s="6"/>
      <c r="K647" s="6"/>
      <c r="N647" s="4" t="str">
        <f>IFERROR(__xludf.DUMMYFUNCTION("TEXTJOIN("","", TRUE, FILTER($E$2:$E1000 &amp; $C$2:$C1000, $A$2:$A1000=A647, $B$2:$B1000=B647, $D$2:$D1000&lt;&gt;D647))"),"#N/A")</f>
        <v>#N/A</v>
      </c>
    </row>
    <row r="648">
      <c r="J648" s="6"/>
      <c r="K648" s="6"/>
      <c r="N648" s="4" t="str">
        <f>IFERROR(__xludf.DUMMYFUNCTION("TEXTJOIN("","", TRUE, FILTER($E$2:$E1000 &amp; $C$2:$C1000, $A$2:$A1000=A648, $B$2:$B1000=B648, $D$2:$D1000&lt;&gt;D648))"),"#N/A")</f>
        <v>#N/A</v>
      </c>
    </row>
    <row r="649">
      <c r="J649" s="6"/>
      <c r="K649" s="6"/>
      <c r="N649" s="4" t="str">
        <f>IFERROR(__xludf.DUMMYFUNCTION("TEXTJOIN("","", TRUE, FILTER($E$2:$E1000 &amp; $C$2:$C1000, $A$2:$A1000=A649, $B$2:$B1000=B649, $D$2:$D1000&lt;&gt;D649))"),"#N/A")</f>
        <v>#N/A</v>
      </c>
    </row>
    <row r="650">
      <c r="J650" s="6"/>
      <c r="K650" s="6"/>
      <c r="N650" s="4" t="str">
        <f>IFERROR(__xludf.DUMMYFUNCTION("TEXTJOIN("","", TRUE, FILTER($E$2:$E1000 &amp; $C$2:$C1000, $A$2:$A1000=A650, $B$2:$B1000=B650, $D$2:$D1000&lt;&gt;D650))"),"#N/A")</f>
        <v>#N/A</v>
      </c>
    </row>
    <row r="651">
      <c r="J651" s="6"/>
      <c r="K651" s="6"/>
      <c r="N651" s="4" t="str">
        <f>IFERROR(__xludf.DUMMYFUNCTION("TEXTJOIN("","", TRUE, FILTER($E$2:$E1000 &amp; $C$2:$C1000, $A$2:$A1000=A651, $B$2:$B1000=B651, $D$2:$D1000&lt;&gt;D651))"),"#N/A")</f>
        <v>#N/A</v>
      </c>
    </row>
    <row r="652">
      <c r="J652" s="6"/>
      <c r="K652" s="6"/>
      <c r="N652" s="4" t="str">
        <f>IFERROR(__xludf.DUMMYFUNCTION("TEXTJOIN("","", TRUE, FILTER($E$2:$E1000 &amp; $C$2:$C1000, $A$2:$A1000=A652, $B$2:$B1000=B652, $D$2:$D1000&lt;&gt;D652))"),"#N/A")</f>
        <v>#N/A</v>
      </c>
    </row>
    <row r="653">
      <c r="J653" s="6"/>
      <c r="K653" s="6"/>
      <c r="N653" s="4" t="str">
        <f>IFERROR(__xludf.DUMMYFUNCTION("TEXTJOIN("","", TRUE, FILTER($E$2:$E1000 &amp; $C$2:$C1000, $A$2:$A1000=A653, $B$2:$B1000=B653, $D$2:$D1000&lt;&gt;D653))"),"#N/A")</f>
        <v>#N/A</v>
      </c>
    </row>
    <row r="654">
      <c r="J654" s="6"/>
      <c r="K654" s="6"/>
      <c r="N654" s="4" t="str">
        <f>IFERROR(__xludf.DUMMYFUNCTION("TEXTJOIN("","", TRUE, FILTER($E$2:$E1000 &amp; $C$2:$C1000, $A$2:$A1000=A654, $B$2:$B1000=B654, $D$2:$D1000&lt;&gt;D654))"),"#N/A")</f>
        <v>#N/A</v>
      </c>
    </row>
    <row r="655">
      <c r="J655" s="6"/>
      <c r="K655" s="6"/>
      <c r="N655" s="4" t="str">
        <f>IFERROR(__xludf.DUMMYFUNCTION("TEXTJOIN("","", TRUE, FILTER($E$2:$E1000 &amp; $C$2:$C1000, $A$2:$A1000=A655, $B$2:$B1000=B655, $D$2:$D1000&lt;&gt;D655))"),"#N/A")</f>
        <v>#N/A</v>
      </c>
    </row>
    <row r="656">
      <c r="J656" s="6"/>
      <c r="K656" s="6"/>
      <c r="N656" s="4" t="str">
        <f>IFERROR(__xludf.DUMMYFUNCTION("TEXTJOIN("","", TRUE, FILTER($E$2:$E1000 &amp; $C$2:$C1000, $A$2:$A1000=A656, $B$2:$B1000=B656, $D$2:$D1000&lt;&gt;D656))"),"#N/A")</f>
        <v>#N/A</v>
      </c>
    </row>
    <row r="657">
      <c r="J657" s="6"/>
      <c r="K657" s="6"/>
      <c r="N657" s="4" t="str">
        <f>IFERROR(__xludf.DUMMYFUNCTION("TEXTJOIN("","", TRUE, FILTER($E$2:$E1000 &amp; $C$2:$C1000, $A$2:$A1000=A657, $B$2:$B1000=B657, $D$2:$D1000&lt;&gt;D657))"),"#N/A")</f>
        <v>#N/A</v>
      </c>
    </row>
    <row r="658">
      <c r="J658" s="6"/>
      <c r="K658" s="6"/>
      <c r="N658" s="4" t="str">
        <f>IFERROR(__xludf.DUMMYFUNCTION("TEXTJOIN("","", TRUE, FILTER($E$2:$E1000 &amp; $C$2:$C1000, $A$2:$A1000=A658, $B$2:$B1000=B658, $D$2:$D1000&lt;&gt;D658))"),"#N/A")</f>
        <v>#N/A</v>
      </c>
    </row>
    <row r="659">
      <c r="J659" s="6"/>
      <c r="K659" s="6"/>
      <c r="N659" s="4" t="str">
        <f>IFERROR(__xludf.DUMMYFUNCTION("TEXTJOIN("","", TRUE, FILTER($E$2:$E1000 &amp; $C$2:$C1000, $A$2:$A1000=A659, $B$2:$B1000=B659, $D$2:$D1000&lt;&gt;D659))"),"#N/A")</f>
        <v>#N/A</v>
      </c>
    </row>
    <row r="660">
      <c r="J660" s="6"/>
      <c r="K660" s="6"/>
      <c r="N660" s="4" t="str">
        <f>IFERROR(__xludf.DUMMYFUNCTION("TEXTJOIN("","", TRUE, FILTER($E$2:$E1000 &amp; $C$2:$C1000, $A$2:$A1000=A660, $B$2:$B1000=B660, $D$2:$D1000&lt;&gt;D660))"),"#N/A")</f>
        <v>#N/A</v>
      </c>
    </row>
    <row r="661">
      <c r="J661" s="6"/>
      <c r="K661" s="6"/>
      <c r="N661" s="4" t="str">
        <f>IFERROR(__xludf.DUMMYFUNCTION("TEXTJOIN("","", TRUE, FILTER($E$2:$E1000 &amp; $C$2:$C1000, $A$2:$A1000=A661, $B$2:$B1000=B661, $D$2:$D1000&lt;&gt;D661))"),"#N/A")</f>
        <v>#N/A</v>
      </c>
    </row>
    <row r="662">
      <c r="J662" s="6"/>
      <c r="K662" s="6"/>
      <c r="N662" s="4" t="str">
        <f>IFERROR(__xludf.DUMMYFUNCTION("TEXTJOIN("","", TRUE, FILTER($E$2:$E1000 &amp; $C$2:$C1000, $A$2:$A1000=A662, $B$2:$B1000=B662, $D$2:$D1000&lt;&gt;D662))"),"#N/A")</f>
        <v>#N/A</v>
      </c>
    </row>
    <row r="663">
      <c r="J663" s="6"/>
      <c r="K663" s="6"/>
      <c r="N663" s="4" t="str">
        <f>IFERROR(__xludf.DUMMYFUNCTION("TEXTJOIN("","", TRUE, FILTER($E$2:$E1000 &amp; $C$2:$C1000, $A$2:$A1000=A663, $B$2:$B1000=B663, $D$2:$D1000&lt;&gt;D663))"),"#N/A")</f>
        <v>#N/A</v>
      </c>
    </row>
    <row r="664">
      <c r="J664" s="6"/>
      <c r="K664" s="6"/>
      <c r="N664" s="4" t="str">
        <f>IFERROR(__xludf.DUMMYFUNCTION("TEXTJOIN("","", TRUE, FILTER($E$2:$E1000 &amp; $C$2:$C1000, $A$2:$A1000=A664, $B$2:$B1000=B664, $D$2:$D1000&lt;&gt;D664))"),"#N/A")</f>
        <v>#N/A</v>
      </c>
    </row>
    <row r="665">
      <c r="J665" s="6"/>
      <c r="K665" s="6"/>
      <c r="N665" s="4" t="str">
        <f>IFERROR(__xludf.DUMMYFUNCTION("TEXTJOIN("","", TRUE, FILTER($E$2:$E1000 &amp; $C$2:$C1000, $A$2:$A1000=A665, $B$2:$B1000=B665, $D$2:$D1000&lt;&gt;D665))"),"#N/A")</f>
        <v>#N/A</v>
      </c>
    </row>
    <row r="666">
      <c r="J666" s="6"/>
      <c r="K666" s="6"/>
      <c r="N666" s="4" t="str">
        <f>IFERROR(__xludf.DUMMYFUNCTION("TEXTJOIN("","", TRUE, FILTER($E$2:$E1000 &amp; $C$2:$C1000, $A$2:$A1000=A666, $B$2:$B1000=B666, $D$2:$D1000&lt;&gt;D666))"),"#N/A")</f>
        <v>#N/A</v>
      </c>
    </row>
    <row r="667">
      <c r="J667" s="6"/>
      <c r="K667" s="6"/>
      <c r="N667" s="4" t="str">
        <f>IFERROR(__xludf.DUMMYFUNCTION("TEXTJOIN("","", TRUE, FILTER($E$2:$E1000 &amp; $C$2:$C1000, $A$2:$A1000=A667, $B$2:$B1000=B667, $D$2:$D1000&lt;&gt;D667))"),"#N/A")</f>
        <v>#N/A</v>
      </c>
    </row>
    <row r="668">
      <c r="J668" s="6"/>
      <c r="K668" s="6"/>
      <c r="N668" s="4" t="str">
        <f>IFERROR(__xludf.DUMMYFUNCTION("TEXTJOIN("","", TRUE, FILTER($E$2:$E1000 &amp; $C$2:$C1000, $A$2:$A1000=A668, $B$2:$B1000=B668, $D$2:$D1000&lt;&gt;D668))"),"#N/A")</f>
        <v>#N/A</v>
      </c>
    </row>
    <row r="669">
      <c r="J669" s="6"/>
      <c r="K669" s="6"/>
      <c r="N669" s="4" t="str">
        <f>IFERROR(__xludf.DUMMYFUNCTION("TEXTJOIN("","", TRUE, FILTER($E$2:$E1000 &amp; $C$2:$C1000, $A$2:$A1000=A669, $B$2:$B1000=B669, $D$2:$D1000&lt;&gt;D669))"),"#N/A")</f>
        <v>#N/A</v>
      </c>
    </row>
    <row r="670">
      <c r="J670" s="6"/>
      <c r="K670" s="6"/>
      <c r="N670" s="4" t="str">
        <f>IFERROR(__xludf.DUMMYFUNCTION("TEXTJOIN("","", TRUE, FILTER($E$2:$E1000 &amp; $C$2:$C1000, $A$2:$A1000=A670, $B$2:$B1000=B670, $D$2:$D1000&lt;&gt;D670))"),"#N/A")</f>
        <v>#N/A</v>
      </c>
    </row>
    <row r="671">
      <c r="J671" s="6"/>
      <c r="K671" s="6"/>
      <c r="N671" s="4" t="str">
        <f>IFERROR(__xludf.DUMMYFUNCTION("TEXTJOIN("","", TRUE, FILTER($E$2:$E1000 &amp; $C$2:$C1000, $A$2:$A1000=A671, $B$2:$B1000=B671, $D$2:$D1000&lt;&gt;D671))"),"#N/A")</f>
        <v>#N/A</v>
      </c>
    </row>
    <row r="672">
      <c r="J672" s="6"/>
      <c r="K672" s="6"/>
      <c r="N672" s="4" t="str">
        <f>IFERROR(__xludf.DUMMYFUNCTION("TEXTJOIN("","", TRUE, FILTER($E$2:$E1000 &amp; $C$2:$C1000, $A$2:$A1000=A672, $B$2:$B1000=B672, $D$2:$D1000&lt;&gt;D672))"),"#N/A")</f>
        <v>#N/A</v>
      </c>
    </row>
    <row r="673">
      <c r="J673" s="6"/>
      <c r="K673" s="6"/>
      <c r="N673" s="4" t="str">
        <f>IFERROR(__xludf.DUMMYFUNCTION("TEXTJOIN("","", TRUE, FILTER($E$2:$E1000 &amp; $C$2:$C1000, $A$2:$A1000=A673, $B$2:$B1000=B673, $D$2:$D1000&lt;&gt;D673))"),"#N/A")</f>
        <v>#N/A</v>
      </c>
    </row>
    <row r="674">
      <c r="J674" s="6"/>
      <c r="K674" s="6"/>
      <c r="N674" s="4" t="str">
        <f>IFERROR(__xludf.DUMMYFUNCTION("TEXTJOIN("","", TRUE, FILTER($E$2:$E1000 &amp; $C$2:$C1000, $A$2:$A1000=A674, $B$2:$B1000=B674, $D$2:$D1000&lt;&gt;D674))"),"#N/A")</f>
        <v>#N/A</v>
      </c>
    </row>
    <row r="675">
      <c r="J675" s="6"/>
      <c r="K675" s="6"/>
      <c r="N675" s="4" t="str">
        <f>IFERROR(__xludf.DUMMYFUNCTION("TEXTJOIN("","", TRUE, FILTER($E$2:$E1000 &amp; $C$2:$C1000, $A$2:$A1000=A675, $B$2:$B1000=B675, $D$2:$D1000&lt;&gt;D675))"),"#N/A")</f>
        <v>#N/A</v>
      </c>
    </row>
    <row r="676">
      <c r="J676" s="6"/>
      <c r="K676" s="6"/>
      <c r="N676" s="4" t="str">
        <f>IFERROR(__xludf.DUMMYFUNCTION("TEXTJOIN("","", TRUE, FILTER($E$2:$E1000 &amp; $C$2:$C1000, $A$2:$A1000=A676, $B$2:$B1000=B676, $D$2:$D1000&lt;&gt;D676))"),"#N/A")</f>
        <v>#N/A</v>
      </c>
    </row>
    <row r="677">
      <c r="J677" s="6"/>
      <c r="K677" s="6"/>
      <c r="N677" s="4" t="str">
        <f>IFERROR(__xludf.DUMMYFUNCTION("TEXTJOIN("","", TRUE, FILTER($E$2:$E1000 &amp; $C$2:$C1000, $A$2:$A1000=A677, $B$2:$B1000=B677, $D$2:$D1000&lt;&gt;D677))"),"#N/A")</f>
        <v>#N/A</v>
      </c>
    </row>
    <row r="678">
      <c r="J678" s="6"/>
      <c r="K678" s="6"/>
      <c r="N678" s="4" t="str">
        <f>IFERROR(__xludf.DUMMYFUNCTION("TEXTJOIN("","", TRUE, FILTER($E$2:$E1000 &amp; $C$2:$C1000, $A$2:$A1000=A678, $B$2:$B1000=B678, $D$2:$D1000&lt;&gt;D678))"),"#N/A")</f>
        <v>#N/A</v>
      </c>
    </row>
    <row r="679">
      <c r="J679" s="6"/>
      <c r="K679" s="6"/>
      <c r="N679" s="4" t="str">
        <f>IFERROR(__xludf.DUMMYFUNCTION("TEXTJOIN("","", TRUE, FILTER($E$2:$E1000 &amp; $C$2:$C1000, $A$2:$A1000=A679, $B$2:$B1000=B679, $D$2:$D1000&lt;&gt;D679))"),"#N/A")</f>
        <v>#N/A</v>
      </c>
    </row>
    <row r="680">
      <c r="J680" s="6"/>
      <c r="K680" s="6"/>
      <c r="N680" s="4" t="str">
        <f>IFERROR(__xludf.DUMMYFUNCTION("TEXTJOIN("","", TRUE, FILTER($E$2:$E1000 &amp; $C$2:$C1000, $A$2:$A1000=A680, $B$2:$B1000=B680, $D$2:$D1000&lt;&gt;D680))"),"#N/A")</f>
        <v>#N/A</v>
      </c>
    </row>
    <row r="681">
      <c r="J681" s="6"/>
      <c r="K681" s="6"/>
      <c r="N681" s="4" t="str">
        <f>IFERROR(__xludf.DUMMYFUNCTION("TEXTJOIN("","", TRUE, FILTER($E$2:$E1000 &amp; $C$2:$C1000, $A$2:$A1000=A681, $B$2:$B1000=B681, $D$2:$D1000&lt;&gt;D681))"),"#N/A")</f>
        <v>#N/A</v>
      </c>
    </row>
    <row r="682">
      <c r="J682" s="6"/>
      <c r="K682" s="6"/>
      <c r="N682" s="4" t="str">
        <f>IFERROR(__xludf.DUMMYFUNCTION("TEXTJOIN("","", TRUE, FILTER($E$2:$E1000 &amp; $C$2:$C1000, $A$2:$A1000=A682, $B$2:$B1000=B682, $D$2:$D1000&lt;&gt;D682))"),"#N/A")</f>
        <v>#N/A</v>
      </c>
    </row>
    <row r="683">
      <c r="J683" s="6"/>
      <c r="K683" s="6"/>
      <c r="N683" s="4" t="str">
        <f>IFERROR(__xludf.DUMMYFUNCTION("TEXTJOIN("","", TRUE, FILTER($E$2:$E1000 &amp; $C$2:$C1000, $A$2:$A1000=A683, $B$2:$B1000=B683, $D$2:$D1000&lt;&gt;D683))"),"#N/A")</f>
        <v>#N/A</v>
      </c>
    </row>
    <row r="684">
      <c r="J684" s="6"/>
      <c r="K684" s="6"/>
      <c r="N684" s="4" t="str">
        <f>IFERROR(__xludf.DUMMYFUNCTION("TEXTJOIN("","", TRUE, FILTER($E$2:$E1000 &amp; $C$2:$C1000, $A$2:$A1000=A684, $B$2:$B1000=B684, $D$2:$D1000&lt;&gt;D684))"),"#N/A")</f>
        <v>#N/A</v>
      </c>
    </row>
    <row r="685">
      <c r="J685" s="6"/>
      <c r="K685" s="6"/>
      <c r="N685" s="4" t="str">
        <f>IFERROR(__xludf.DUMMYFUNCTION("TEXTJOIN("","", TRUE, FILTER($E$2:$E1000 &amp; $C$2:$C1000, $A$2:$A1000=A685, $B$2:$B1000=B685, $D$2:$D1000&lt;&gt;D685))"),"#N/A")</f>
        <v>#N/A</v>
      </c>
    </row>
    <row r="686">
      <c r="J686" s="6"/>
      <c r="K686" s="6"/>
      <c r="N686" s="4" t="str">
        <f>IFERROR(__xludf.DUMMYFUNCTION("TEXTJOIN("","", TRUE, FILTER($E$2:$E1000 &amp; $C$2:$C1000, $A$2:$A1000=A686, $B$2:$B1000=B686, $D$2:$D1000&lt;&gt;D686))"),"#N/A")</f>
        <v>#N/A</v>
      </c>
    </row>
    <row r="687">
      <c r="J687" s="6"/>
      <c r="K687" s="6"/>
      <c r="N687" s="4" t="str">
        <f>IFERROR(__xludf.DUMMYFUNCTION("TEXTJOIN("","", TRUE, FILTER($E$2:$E1000 &amp; $C$2:$C1000, $A$2:$A1000=A687, $B$2:$B1000=B687, $D$2:$D1000&lt;&gt;D687))"),"#N/A")</f>
        <v>#N/A</v>
      </c>
    </row>
    <row r="688">
      <c r="J688" s="6"/>
      <c r="K688" s="6"/>
      <c r="N688" s="4" t="str">
        <f>IFERROR(__xludf.DUMMYFUNCTION("TEXTJOIN("","", TRUE, FILTER($E$2:$E1000 &amp; $C$2:$C1000, $A$2:$A1000=A688, $B$2:$B1000=B688, $D$2:$D1000&lt;&gt;D688))"),"#N/A")</f>
        <v>#N/A</v>
      </c>
    </row>
    <row r="689">
      <c r="J689" s="6"/>
      <c r="K689" s="6"/>
      <c r="N689" s="4" t="str">
        <f>IFERROR(__xludf.DUMMYFUNCTION("TEXTJOIN("","", TRUE, FILTER($E$2:$E1000 &amp; $C$2:$C1000, $A$2:$A1000=A689, $B$2:$B1000=B689, $D$2:$D1000&lt;&gt;D689))"),"#N/A")</f>
        <v>#N/A</v>
      </c>
    </row>
    <row r="690">
      <c r="J690" s="6"/>
      <c r="K690" s="6"/>
      <c r="N690" s="4" t="str">
        <f>IFERROR(__xludf.DUMMYFUNCTION("TEXTJOIN("","", TRUE, FILTER($E$2:$E1000 &amp; $C$2:$C1000, $A$2:$A1000=A690, $B$2:$B1000=B690, $D$2:$D1000&lt;&gt;D690))"),"#N/A")</f>
        <v>#N/A</v>
      </c>
    </row>
    <row r="691">
      <c r="J691" s="6"/>
      <c r="K691" s="6"/>
      <c r="N691" s="4" t="str">
        <f>IFERROR(__xludf.DUMMYFUNCTION("TEXTJOIN("","", TRUE, FILTER($E$2:$E1000 &amp; $C$2:$C1000, $A$2:$A1000=A691, $B$2:$B1000=B691, $D$2:$D1000&lt;&gt;D691))"),"#N/A")</f>
        <v>#N/A</v>
      </c>
    </row>
    <row r="692">
      <c r="J692" s="6"/>
      <c r="K692" s="6"/>
      <c r="N692" s="4" t="str">
        <f>IFERROR(__xludf.DUMMYFUNCTION("TEXTJOIN("","", TRUE, FILTER($E$2:$E1000 &amp; $C$2:$C1000, $A$2:$A1000=A692, $B$2:$B1000=B692, $D$2:$D1000&lt;&gt;D692))"),"#N/A")</f>
        <v>#N/A</v>
      </c>
    </row>
    <row r="693">
      <c r="J693" s="6"/>
      <c r="K693" s="6"/>
      <c r="N693" s="4" t="str">
        <f>IFERROR(__xludf.DUMMYFUNCTION("TEXTJOIN("","", TRUE, FILTER($E$2:$E1000 &amp; $C$2:$C1000, $A$2:$A1000=A693, $B$2:$B1000=B693, $D$2:$D1000&lt;&gt;D693))"),"#N/A")</f>
        <v>#N/A</v>
      </c>
    </row>
    <row r="694">
      <c r="J694" s="6"/>
      <c r="K694" s="6"/>
      <c r="N694" s="4" t="str">
        <f>IFERROR(__xludf.DUMMYFUNCTION("TEXTJOIN("","", TRUE, FILTER($E$2:$E1000 &amp; $C$2:$C1000, $A$2:$A1000=A694, $B$2:$B1000=B694, $D$2:$D1000&lt;&gt;D694))"),"#N/A")</f>
        <v>#N/A</v>
      </c>
    </row>
    <row r="695">
      <c r="J695" s="6"/>
      <c r="K695" s="6"/>
      <c r="N695" s="4" t="str">
        <f>IFERROR(__xludf.DUMMYFUNCTION("TEXTJOIN("","", TRUE, FILTER($E$2:$E1000 &amp; $C$2:$C1000, $A$2:$A1000=A695, $B$2:$B1000=B695, $D$2:$D1000&lt;&gt;D695))"),"#N/A")</f>
        <v>#N/A</v>
      </c>
    </row>
    <row r="696">
      <c r="J696" s="6"/>
      <c r="K696" s="6"/>
      <c r="N696" s="4" t="str">
        <f>IFERROR(__xludf.DUMMYFUNCTION("TEXTJOIN("","", TRUE, FILTER($E$2:$E1000 &amp; $C$2:$C1000, $A$2:$A1000=A696, $B$2:$B1000=B696, $D$2:$D1000&lt;&gt;D696))"),"#N/A")</f>
        <v>#N/A</v>
      </c>
    </row>
    <row r="697">
      <c r="J697" s="6"/>
      <c r="K697" s="6"/>
      <c r="N697" s="4" t="str">
        <f>IFERROR(__xludf.DUMMYFUNCTION("TEXTJOIN("","", TRUE, FILTER($E$2:$E1000 &amp; $C$2:$C1000, $A$2:$A1000=A697, $B$2:$B1000=B697, $D$2:$D1000&lt;&gt;D697))"),"#N/A")</f>
        <v>#N/A</v>
      </c>
    </row>
    <row r="698">
      <c r="J698" s="6"/>
      <c r="K698" s="6"/>
      <c r="N698" s="4" t="str">
        <f>IFERROR(__xludf.DUMMYFUNCTION("TEXTJOIN("","", TRUE, FILTER($E$2:$E1000 &amp; $C$2:$C1000, $A$2:$A1000=A698, $B$2:$B1000=B698, $D$2:$D1000&lt;&gt;D698))"),"#N/A")</f>
        <v>#N/A</v>
      </c>
    </row>
    <row r="699">
      <c r="J699" s="6"/>
      <c r="K699" s="6"/>
      <c r="N699" s="4" t="str">
        <f>IFERROR(__xludf.DUMMYFUNCTION("TEXTJOIN("","", TRUE, FILTER($E$2:$E1000 &amp; $C$2:$C1000, $A$2:$A1000=A699, $B$2:$B1000=B699, $D$2:$D1000&lt;&gt;D699))"),"#N/A")</f>
        <v>#N/A</v>
      </c>
    </row>
    <row r="700">
      <c r="J700" s="6"/>
      <c r="K700" s="6"/>
      <c r="N700" s="4" t="str">
        <f>IFERROR(__xludf.DUMMYFUNCTION("TEXTJOIN("","", TRUE, FILTER($E$2:$E1000 &amp; $C$2:$C1000, $A$2:$A1000=A700, $B$2:$B1000=B700, $D$2:$D1000&lt;&gt;D700))"),"#N/A")</f>
        <v>#N/A</v>
      </c>
    </row>
    <row r="701">
      <c r="J701" s="6"/>
      <c r="K701" s="6"/>
      <c r="N701" s="4" t="str">
        <f>IFERROR(__xludf.DUMMYFUNCTION("TEXTJOIN("","", TRUE, FILTER($E$2:$E1000 &amp; $C$2:$C1000, $A$2:$A1000=A701, $B$2:$B1000=B701, $D$2:$D1000&lt;&gt;D701))"),"#N/A")</f>
        <v>#N/A</v>
      </c>
    </row>
    <row r="702">
      <c r="J702" s="6"/>
      <c r="K702" s="6"/>
      <c r="N702" s="4" t="str">
        <f>IFERROR(__xludf.DUMMYFUNCTION("TEXTJOIN("","", TRUE, FILTER($E$2:$E1000 &amp; $C$2:$C1000, $A$2:$A1000=A702, $B$2:$B1000=B702, $D$2:$D1000&lt;&gt;D702))"),"#N/A")</f>
        <v>#N/A</v>
      </c>
    </row>
    <row r="703">
      <c r="J703" s="6"/>
      <c r="K703" s="6"/>
      <c r="N703" s="4" t="str">
        <f>IFERROR(__xludf.DUMMYFUNCTION("TEXTJOIN("","", TRUE, FILTER($E$2:$E1000 &amp; $C$2:$C1000, $A$2:$A1000=A703, $B$2:$B1000=B703, $D$2:$D1000&lt;&gt;D703))"),"#N/A")</f>
        <v>#N/A</v>
      </c>
    </row>
    <row r="704">
      <c r="J704" s="6"/>
      <c r="K704" s="6"/>
      <c r="N704" s="4" t="str">
        <f>IFERROR(__xludf.DUMMYFUNCTION("TEXTJOIN("","", TRUE, FILTER($E$2:$E1000 &amp; $C$2:$C1000, $A$2:$A1000=A704, $B$2:$B1000=B704, $D$2:$D1000&lt;&gt;D704))"),"#N/A")</f>
        <v>#N/A</v>
      </c>
    </row>
    <row r="705">
      <c r="J705" s="6"/>
      <c r="K705" s="6"/>
      <c r="N705" s="4" t="str">
        <f>IFERROR(__xludf.DUMMYFUNCTION("TEXTJOIN("","", TRUE, FILTER($E$2:$E1000 &amp; $C$2:$C1000, $A$2:$A1000=A705, $B$2:$B1000=B705, $D$2:$D1000&lt;&gt;D705))"),"#N/A")</f>
        <v>#N/A</v>
      </c>
    </row>
    <row r="706">
      <c r="J706" s="6"/>
      <c r="K706" s="6"/>
      <c r="N706" s="4" t="str">
        <f>IFERROR(__xludf.DUMMYFUNCTION("TEXTJOIN("","", TRUE, FILTER($E$2:$E1000 &amp; $C$2:$C1000, $A$2:$A1000=A706, $B$2:$B1000=B706, $D$2:$D1000&lt;&gt;D706))"),"#N/A")</f>
        <v>#N/A</v>
      </c>
    </row>
    <row r="707">
      <c r="J707" s="6"/>
      <c r="K707" s="6"/>
      <c r="N707" s="4" t="str">
        <f>IFERROR(__xludf.DUMMYFUNCTION("TEXTJOIN("","", TRUE, FILTER($E$2:$E1000 &amp; $C$2:$C1000, $A$2:$A1000=A707, $B$2:$B1000=B707, $D$2:$D1000&lt;&gt;D707))"),"#N/A")</f>
        <v>#N/A</v>
      </c>
    </row>
    <row r="708">
      <c r="J708" s="6"/>
      <c r="K708" s="6"/>
      <c r="N708" s="4" t="str">
        <f>IFERROR(__xludf.DUMMYFUNCTION("TEXTJOIN("","", TRUE, FILTER($E$2:$E1000 &amp; $C$2:$C1000, $A$2:$A1000=A708, $B$2:$B1000=B708, $D$2:$D1000&lt;&gt;D708))"),"#N/A")</f>
        <v>#N/A</v>
      </c>
    </row>
    <row r="709">
      <c r="J709" s="6"/>
      <c r="K709" s="6"/>
      <c r="N709" s="4" t="str">
        <f>IFERROR(__xludf.DUMMYFUNCTION("TEXTJOIN("","", TRUE, FILTER($E$2:$E1000 &amp; $C$2:$C1000, $A$2:$A1000=A709, $B$2:$B1000=B709, $D$2:$D1000&lt;&gt;D709))"),"#N/A")</f>
        <v>#N/A</v>
      </c>
    </row>
    <row r="710">
      <c r="J710" s="6"/>
      <c r="K710" s="6"/>
      <c r="N710" s="4" t="str">
        <f>IFERROR(__xludf.DUMMYFUNCTION("TEXTJOIN("","", TRUE, FILTER($E$2:$E1000 &amp; $C$2:$C1000, $A$2:$A1000=A710, $B$2:$B1000=B710, $D$2:$D1000&lt;&gt;D710))"),"#N/A")</f>
        <v>#N/A</v>
      </c>
    </row>
    <row r="711">
      <c r="J711" s="6"/>
      <c r="K711" s="6"/>
      <c r="N711" s="4" t="str">
        <f>IFERROR(__xludf.DUMMYFUNCTION("TEXTJOIN("","", TRUE, FILTER($E$2:$E1000 &amp; $C$2:$C1000, $A$2:$A1000=A711, $B$2:$B1000=B711, $D$2:$D1000&lt;&gt;D711))"),"#N/A")</f>
        <v>#N/A</v>
      </c>
    </row>
    <row r="712">
      <c r="J712" s="6"/>
      <c r="K712" s="6"/>
      <c r="N712" s="4" t="str">
        <f>IFERROR(__xludf.DUMMYFUNCTION("TEXTJOIN("","", TRUE, FILTER($E$2:$E1000 &amp; $C$2:$C1000, $A$2:$A1000=A712, $B$2:$B1000=B712, $D$2:$D1000&lt;&gt;D712))"),"#N/A")</f>
        <v>#N/A</v>
      </c>
    </row>
    <row r="713">
      <c r="J713" s="6"/>
      <c r="K713" s="6"/>
      <c r="N713" s="4" t="str">
        <f>IFERROR(__xludf.DUMMYFUNCTION("TEXTJOIN("","", TRUE, FILTER($E$2:$E1000 &amp; $C$2:$C1000, $A$2:$A1000=A713, $B$2:$B1000=B713, $D$2:$D1000&lt;&gt;D713))"),"#N/A")</f>
        <v>#N/A</v>
      </c>
    </row>
    <row r="714">
      <c r="J714" s="6"/>
      <c r="K714" s="6"/>
      <c r="N714" s="4" t="str">
        <f>IFERROR(__xludf.DUMMYFUNCTION("TEXTJOIN("","", TRUE, FILTER($E$2:$E1000 &amp; $C$2:$C1000, $A$2:$A1000=A714, $B$2:$B1000=B714, $D$2:$D1000&lt;&gt;D714))"),"#N/A")</f>
        <v>#N/A</v>
      </c>
    </row>
    <row r="715">
      <c r="J715" s="6"/>
      <c r="K715" s="6"/>
      <c r="N715" s="4" t="str">
        <f>IFERROR(__xludf.DUMMYFUNCTION("TEXTJOIN("","", TRUE, FILTER($E$2:$E1000 &amp; $C$2:$C1000, $A$2:$A1000=A715, $B$2:$B1000=B715, $D$2:$D1000&lt;&gt;D715))"),"#N/A")</f>
        <v>#N/A</v>
      </c>
    </row>
    <row r="716">
      <c r="J716" s="6"/>
      <c r="K716" s="6"/>
      <c r="N716" s="4" t="str">
        <f>IFERROR(__xludf.DUMMYFUNCTION("TEXTJOIN("","", TRUE, FILTER($E$2:$E1000 &amp; $C$2:$C1000, $A$2:$A1000=A716, $B$2:$B1000=B716, $D$2:$D1000&lt;&gt;D716))"),"#N/A")</f>
        <v>#N/A</v>
      </c>
    </row>
    <row r="717">
      <c r="J717" s="6"/>
      <c r="K717" s="6"/>
      <c r="N717" s="4" t="str">
        <f>IFERROR(__xludf.DUMMYFUNCTION("TEXTJOIN("","", TRUE, FILTER($E$2:$E1000 &amp; $C$2:$C1000, $A$2:$A1000=A717, $B$2:$B1000=B717, $D$2:$D1000&lt;&gt;D717))"),"#N/A")</f>
        <v>#N/A</v>
      </c>
    </row>
    <row r="718">
      <c r="J718" s="6"/>
      <c r="K718" s="6"/>
      <c r="N718" s="4" t="str">
        <f>IFERROR(__xludf.DUMMYFUNCTION("TEXTJOIN("","", TRUE, FILTER($E$2:$E1000 &amp; $C$2:$C1000, $A$2:$A1000=A718, $B$2:$B1000=B718, $D$2:$D1000&lt;&gt;D718))"),"#N/A")</f>
        <v>#N/A</v>
      </c>
    </row>
    <row r="719">
      <c r="J719" s="6"/>
      <c r="K719" s="6"/>
      <c r="N719" s="4" t="str">
        <f>IFERROR(__xludf.DUMMYFUNCTION("TEXTJOIN("","", TRUE, FILTER($E$2:$E1000 &amp; $C$2:$C1000, $A$2:$A1000=A719, $B$2:$B1000=B719, $D$2:$D1000&lt;&gt;D719))"),"#N/A")</f>
        <v>#N/A</v>
      </c>
    </row>
    <row r="720">
      <c r="J720" s="6"/>
      <c r="K720" s="6"/>
      <c r="N720" s="4" t="str">
        <f>IFERROR(__xludf.DUMMYFUNCTION("TEXTJOIN("","", TRUE, FILTER($E$2:$E1000 &amp; $C$2:$C1000, $A$2:$A1000=A720, $B$2:$B1000=B720, $D$2:$D1000&lt;&gt;D720))"),"#N/A")</f>
        <v>#N/A</v>
      </c>
    </row>
    <row r="721">
      <c r="J721" s="6"/>
      <c r="K721" s="6"/>
      <c r="N721" s="4" t="str">
        <f>IFERROR(__xludf.DUMMYFUNCTION("TEXTJOIN("","", TRUE, FILTER($E$2:$E1000 &amp; $C$2:$C1000, $A$2:$A1000=A721, $B$2:$B1000=B721, $D$2:$D1000&lt;&gt;D721))"),"#N/A")</f>
        <v>#N/A</v>
      </c>
    </row>
    <row r="722">
      <c r="J722" s="6"/>
      <c r="K722" s="6"/>
      <c r="N722" s="4" t="str">
        <f>IFERROR(__xludf.DUMMYFUNCTION("TEXTJOIN("","", TRUE, FILTER($E$2:$E1000 &amp; $C$2:$C1000, $A$2:$A1000=A722, $B$2:$B1000=B722, $D$2:$D1000&lt;&gt;D722))"),"#N/A")</f>
        <v>#N/A</v>
      </c>
    </row>
    <row r="723">
      <c r="J723" s="6"/>
      <c r="K723" s="6"/>
      <c r="N723" s="4" t="str">
        <f>IFERROR(__xludf.DUMMYFUNCTION("TEXTJOIN("","", TRUE, FILTER($E$2:$E1000 &amp; $C$2:$C1000, $A$2:$A1000=A723, $B$2:$B1000=B723, $D$2:$D1000&lt;&gt;D723))"),"#N/A")</f>
        <v>#N/A</v>
      </c>
    </row>
    <row r="724">
      <c r="J724" s="6"/>
      <c r="K724" s="6"/>
      <c r="N724" s="4" t="str">
        <f>IFERROR(__xludf.DUMMYFUNCTION("TEXTJOIN("","", TRUE, FILTER($E$2:$E1000 &amp; $C$2:$C1000, $A$2:$A1000=A724, $B$2:$B1000=B724, $D$2:$D1000&lt;&gt;D724))"),"#N/A")</f>
        <v>#N/A</v>
      </c>
    </row>
    <row r="725">
      <c r="J725" s="6"/>
      <c r="K725" s="6"/>
      <c r="N725" s="4" t="str">
        <f>IFERROR(__xludf.DUMMYFUNCTION("TEXTJOIN("","", TRUE, FILTER($E$2:$E1000 &amp; $C$2:$C1000, $A$2:$A1000=A725, $B$2:$B1000=B725, $D$2:$D1000&lt;&gt;D725))"),"#N/A")</f>
        <v>#N/A</v>
      </c>
    </row>
    <row r="726">
      <c r="J726" s="6"/>
      <c r="K726" s="6"/>
      <c r="N726" s="4" t="str">
        <f>IFERROR(__xludf.DUMMYFUNCTION("TEXTJOIN("","", TRUE, FILTER($E$2:$E1000 &amp; $C$2:$C1000, $A$2:$A1000=A726, $B$2:$B1000=B726, $D$2:$D1000&lt;&gt;D726))"),"#N/A")</f>
        <v>#N/A</v>
      </c>
    </row>
    <row r="727">
      <c r="J727" s="6"/>
      <c r="K727" s="6"/>
      <c r="N727" s="4" t="str">
        <f>IFERROR(__xludf.DUMMYFUNCTION("TEXTJOIN("","", TRUE, FILTER($E$2:$E1000 &amp; $C$2:$C1000, $A$2:$A1000=A727, $B$2:$B1000=B727, $D$2:$D1000&lt;&gt;D727))"),"#N/A")</f>
        <v>#N/A</v>
      </c>
    </row>
    <row r="728">
      <c r="J728" s="6"/>
      <c r="K728" s="6"/>
      <c r="N728" s="4" t="str">
        <f>IFERROR(__xludf.DUMMYFUNCTION("TEXTJOIN("","", TRUE, FILTER($E$2:$E1000 &amp; $C$2:$C1000, $A$2:$A1000=A728, $B$2:$B1000=B728, $D$2:$D1000&lt;&gt;D728))"),"#N/A")</f>
        <v>#N/A</v>
      </c>
    </row>
    <row r="729">
      <c r="J729" s="6"/>
      <c r="K729" s="6"/>
      <c r="N729" s="4" t="str">
        <f>IFERROR(__xludf.DUMMYFUNCTION("TEXTJOIN("","", TRUE, FILTER($E$2:$E1000 &amp; $C$2:$C1000, $A$2:$A1000=A729, $B$2:$B1000=B729, $D$2:$D1000&lt;&gt;D729))"),"#N/A")</f>
        <v>#N/A</v>
      </c>
    </row>
    <row r="730">
      <c r="J730" s="6"/>
      <c r="K730" s="6"/>
      <c r="N730" s="4" t="str">
        <f>IFERROR(__xludf.DUMMYFUNCTION("TEXTJOIN("","", TRUE, FILTER($E$2:$E1000 &amp; $C$2:$C1000, $A$2:$A1000=A730, $B$2:$B1000=B730, $D$2:$D1000&lt;&gt;D730))"),"#N/A")</f>
        <v>#N/A</v>
      </c>
    </row>
    <row r="731">
      <c r="J731" s="6"/>
      <c r="K731" s="6"/>
      <c r="N731" s="4" t="str">
        <f>IFERROR(__xludf.DUMMYFUNCTION("TEXTJOIN("","", TRUE, FILTER($E$2:$E1000 &amp; $C$2:$C1000, $A$2:$A1000=A731, $B$2:$B1000=B731, $D$2:$D1000&lt;&gt;D731))"),"#N/A")</f>
        <v>#N/A</v>
      </c>
    </row>
    <row r="732">
      <c r="J732" s="6"/>
      <c r="K732" s="6"/>
      <c r="N732" s="4" t="str">
        <f>IFERROR(__xludf.DUMMYFUNCTION("TEXTJOIN("","", TRUE, FILTER($E$2:$E1000 &amp; $C$2:$C1000, $A$2:$A1000=A732, $B$2:$B1000=B732, $D$2:$D1000&lt;&gt;D732))"),"#N/A")</f>
        <v>#N/A</v>
      </c>
    </row>
    <row r="733">
      <c r="J733" s="6"/>
      <c r="K733" s="6"/>
      <c r="N733" s="4" t="str">
        <f>IFERROR(__xludf.DUMMYFUNCTION("TEXTJOIN("","", TRUE, FILTER($E$2:$E1000 &amp; $C$2:$C1000, $A$2:$A1000=A733, $B$2:$B1000=B733, $D$2:$D1000&lt;&gt;D733))"),"#N/A")</f>
        <v>#N/A</v>
      </c>
    </row>
    <row r="734">
      <c r="J734" s="6"/>
      <c r="K734" s="6"/>
      <c r="N734" s="4" t="str">
        <f>IFERROR(__xludf.DUMMYFUNCTION("TEXTJOIN("","", TRUE, FILTER($E$2:$E1000 &amp; $C$2:$C1000, $A$2:$A1000=A734, $B$2:$B1000=B734, $D$2:$D1000&lt;&gt;D734))"),"#N/A")</f>
        <v>#N/A</v>
      </c>
    </row>
    <row r="735">
      <c r="J735" s="6"/>
      <c r="K735" s="6"/>
      <c r="N735" s="4" t="str">
        <f>IFERROR(__xludf.DUMMYFUNCTION("TEXTJOIN("","", TRUE, FILTER($E$2:$E1000 &amp; $C$2:$C1000, $A$2:$A1000=A735, $B$2:$B1000=B735, $D$2:$D1000&lt;&gt;D735))"),"#N/A")</f>
        <v>#N/A</v>
      </c>
    </row>
    <row r="736">
      <c r="J736" s="6"/>
      <c r="K736" s="6"/>
      <c r="N736" s="4" t="str">
        <f>IFERROR(__xludf.DUMMYFUNCTION("TEXTJOIN("","", TRUE, FILTER($E$2:$E1000 &amp; $C$2:$C1000, $A$2:$A1000=A736, $B$2:$B1000=B736, $D$2:$D1000&lt;&gt;D736))"),"#N/A")</f>
        <v>#N/A</v>
      </c>
    </row>
    <row r="737">
      <c r="J737" s="6"/>
      <c r="K737" s="6"/>
      <c r="N737" s="4" t="str">
        <f>IFERROR(__xludf.DUMMYFUNCTION("TEXTJOIN("","", TRUE, FILTER($E$2:$E1000 &amp; $C$2:$C1000, $A$2:$A1000=A737, $B$2:$B1000=B737, $D$2:$D1000&lt;&gt;D737))"),"#N/A")</f>
        <v>#N/A</v>
      </c>
    </row>
    <row r="738">
      <c r="J738" s="6"/>
      <c r="K738" s="6"/>
      <c r="N738" s="4" t="str">
        <f>IFERROR(__xludf.DUMMYFUNCTION("TEXTJOIN("","", TRUE, FILTER($E$2:$E1000 &amp; $C$2:$C1000, $A$2:$A1000=A738, $B$2:$B1000=B738, $D$2:$D1000&lt;&gt;D738))"),"#N/A")</f>
        <v>#N/A</v>
      </c>
    </row>
    <row r="739">
      <c r="J739" s="6"/>
      <c r="K739" s="6"/>
      <c r="N739" s="4" t="str">
        <f>IFERROR(__xludf.DUMMYFUNCTION("TEXTJOIN("","", TRUE, FILTER($E$2:$E1000 &amp; $C$2:$C1000, $A$2:$A1000=A739, $B$2:$B1000=B739, $D$2:$D1000&lt;&gt;D739))"),"#N/A")</f>
        <v>#N/A</v>
      </c>
    </row>
    <row r="740">
      <c r="J740" s="6"/>
      <c r="K740" s="6"/>
      <c r="N740" s="4" t="str">
        <f>IFERROR(__xludf.DUMMYFUNCTION("TEXTJOIN("","", TRUE, FILTER($E$2:$E1000 &amp; $C$2:$C1000, $A$2:$A1000=A740, $B$2:$B1000=B740, $D$2:$D1000&lt;&gt;D740))"),"#N/A")</f>
        <v>#N/A</v>
      </c>
    </row>
    <row r="741">
      <c r="J741" s="6"/>
      <c r="K741" s="6"/>
      <c r="N741" s="4" t="str">
        <f>IFERROR(__xludf.DUMMYFUNCTION("TEXTJOIN("","", TRUE, FILTER($E$2:$E1000 &amp; $C$2:$C1000, $A$2:$A1000=A741, $B$2:$B1000=B741, $D$2:$D1000&lt;&gt;D741))"),"#N/A")</f>
        <v>#N/A</v>
      </c>
    </row>
    <row r="742">
      <c r="J742" s="6"/>
      <c r="K742" s="6"/>
      <c r="N742" s="4" t="str">
        <f>IFERROR(__xludf.DUMMYFUNCTION("TEXTJOIN("","", TRUE, FILTER($E$2:$E1000 &amp; $C$2:$C1000, $A$2:$A1000=A742, $B$2:$B1000=B742, $D$2:$D1000&lt;&gt;D742))"),"#N/A")</f>
        <v>#N/A</v>
      </c>
    </row>
    <row r="743">
      <c r="J743" s="6"/>
      <c r="K743" s="6"/>
      <c r="N743" s="4" t="str">
        <f>IFERROR(__xludf.DUMMYFUNCTION("TEXTJOIN("","", TRUE, FILTER($E$2:$E1000 &amp; $C$2:$C1000, $A$2:$A1000=A743, $B$2:$B1000=B743, $D$2:$D1000&lt;&gt;D743))"),"#N/A")</f>
        <v>#N/A</v>
      </c>
    </row>
    <row r="744">
      <c r="J744" s="6"/>
      <c r="K744" s="6"/>
      <c r="N744" s="4" t="str">
        <f>IFERROR(__xludf.DUMMYFUNCTION("TEXTJOIN("","", TRUE, FILTER($E$2:$E1000 &amp; $C$2:$C1000, $A$2:$A1000=A744, $B$2:$B1000=B744, $D$2:$D1000&lt;&gt;D744))"),"#N/A")</f>
        <v>#N/A</v>
      </c>
    </row>
    <row r="745">
      <c r="J745" s="6"/>
      <c r="K745" s="6"/>
      <c r="N745" s="4" t="str">
        <f>IFERROR(__xludf.DUMMYFUNCTION("TEXTJOIN("","", TRUE, FILTER($E$2:$E1000 &amp; $C$2:$C1000, $A$2:$A1000=A745, $B$2:$B1000=B745, $D$2:$D1000&lt;&gt;D745))"),"#N/A")</f>
        <v>#N/A</v>
      </c>
    </row>
    <row r="746">
      <c r="J746" s="6"/>
      <c r="K746" s="6"/>
      <c r="N746" s="4" t="str">
        <f>IFERROR(__xludf.DUMMYFUNCTION("TEXTJOIN("","", TRUE, FILTER($E$2:$E1000 &amp; $C$2:$C1000, $A$2:$A1000=A746, $B$2:$B1000=B746, $D$2:$D1000&lt;&gt;D746))"),"#N/A")</f>
        <v>#N/A</v>
      </c>
    </row>
    <row r="747">
      <c r="J747" s="6"/>
      <c r="K747" s="6"/>
      <c r="N747" s="4" t="str">
        <f>IFERROR(__xludf.DUMMYFUNCTION("TEXTJOIN("","", TRUE, FILTER($E$2:$E1000 &amp; $C$2:$C1000, $A$2:$A1000=A747, $B$2:$B1000=B747, $D$2:$D1000&lt;&gt;D747))"),"#N/A")</f>
        <v>#N/A</v>
      </c>
    </row>
    <row r="748">
      <c r="J748" s="6"/>
      <c r="K748" s="6"/>
      <c r="N748" s="4" t="str">
        <f>IFERROR(__xludf.DUMMYFUNCTION("TEXTJOIN("","", TRUE, FILTER($E$2:$E1000 &amp; $C$2:$C1000, $A$2:$A1000=A748, $B$2:$B1000=B748, $D$2:$D1000&lt;&gt;D748))"),"#N/A")</f>
        <v>#N/A</v>
      </c>
    </row>
    <row r="749">
      <c r="J749" s="6"/>
      <c r="K749" s="6"/>
      <c r="N749" s="4" t="str">
        <f>IFERROR(__xludf.DUMMYFUNCTION("TEXTJOIN("","", TRUE, FILTER($E$2:$E1000 &amp; $C$2:$C1000, $A$2:$A1000=A749, $B$2:$B1000=B749, $D$2:$D1000&lt;&gt;D749))"),"#N/A")</f>
        <v>#N/A</v>
      </c>
    </row>
    <row r="750">
      <c r="J750" s="6"/>
      <c r="K750" s="6"/>
      <c r="N750" s="4" t="str">
        <f>IFERROR(__xludf.DUMMYFUNCTION("TEXTJOIN("","", TRUE, FILTER($E$2:$E1000 &amp; $C$2:$C1000, $A$2:$A1000=A750, $B$2:$B1000=B750, $D$2:$D1000&lt;&gt;D750))"),"#N/A")</f>
        <v>#N/A</v>
      </c>
    </row>
    <row r="751">
      <c r="J751" s="6"/>
      <c r="K751" s="6"/>
      <c r="N751" s="4" t="str">
        <f>IFERROR(__xludf.DUMMYFUNCTION("TEXTJOIN("","", TRUE, FILTER($E$2:$E1000 &amp; $C$2:$C1000, $A$2:$A1000=A751, $B$2:$B1000=B751, $D$2:$D1000&lt;&gt;D751))"),"#N/A")</f>
        <v>#N/A</v>
      </c>
    </row>
    <row r="752">
      <c r="J752" s="6"/>
      <c r="K752" s="6"/>
      <c r="N752" s="4" t="str">
        <f>IFERROR(__xludf.DUMMYFUNCTION("TEXTJOIN("","", TRUE, FILTER($E$2:$E1000 &amp; $C$2:$C1000, $A$2:$A1000=A752, $B$2:$B1000=B752, $D$2:$D1000&lt;&gt;D752))"),"#N/A")</f>
        <v>#N/A</v>
      </c>
    </row>
    <row r="753">
      <c r="J753" s="6"/>
      <c r="K753" s="6"/>
      <c r="N753" s="4" t="str">
        <f>IFERROR(__xludf.DUMMYFUNCTION("TEXTJOIN("","", TRUE, FILTER($E$2:$E1000 &amp; $C$2:$C1000, $A$2:$A1000=A753, $B$2:$B1000=B753, $D$2:$D1000&lt;&gt;D753))"),"#N/A")</f>
        <v>#N/A</v>
      </c>
    </row>
    <row r="754">
      <c r="J754" s="6"/>
      <c r="K754" s="6"/>
      <c r="N754" s="4" t="str">
        <f>IFERROR(__xludf.DUMMYFUNCTION("TEXTJOIN("","", TRUE, FILTER($E$2:$E1000 &amp; $C$2:$C1000, $A$2:$A1000=A754, $B$2:$B1000=B754, $D$2:$D1000&lt;&gt;D754))"),"#N/A")</f>
        <v>#N/A</v>
      </c>
    </row>
    <row r="755">
      <c r="J755" s="6"/>
      <c r="K755" s="6"/>
      <c r="N755" s="4" t="str">
        <f>IFERROR(__xludf.DUMMYFUNCTION("TEXTJOIN("","", TRUE, FILTER($E$2:$E1000 &amp; $C$2:$C1000, $A$2:$A1000=A755, $B$2:$B1000=B755, $D$2:$D1000&lt;&gt;D755))"),"#N/A")</f>
        <v>#N/A</v>
      </c>
    </row>
    <row r="756">
      <c r="J756" s="6"/>
      <c r="K756" s="6"/>
      <c r="N756" s="4" t="str">
        <f>IFERROR(__xludf.DUMMYFUNCTION("TEXTJOIN("","", TRUE, FILTER($E$2:$E1000 &amp; $C$2:$C1000, $A$2:$A1000=A756, $B$2:$B1000=B756, $D$2:$D1000&lt;&gt;D756))"),"#N/A")</f>
        <v>#N/A</v>
      </c>
    </row>
    <row r="757">
      <c r="J757" s="6"/>
      <c r="K757" s="6"/>
      <c r="N757" s="4" t="str">
        <f>IFERROR(__xludf.DUMMYFUNCTION("TEXTJOIN("","", TRUE, FILTER($E$2:$E1000 &amp; $C$2:$C1000, $A$2:$A1000=A757, $B$2:$B1000=B757, $D$2:$D1000&lt;&gt;D757))"),"#N/A")</f>
        <v>#N/A</v>
      </c>
    </row>
    <row r="758">
      <c r="J758" s="6"/>
      <c r="K758" s="6"/>
      <c r="N758" s="4" t="str">
        <f>IFERROR(__xludf.DUMMYFUNCTION("TEXTJOIN("","", TRUE, FILTER($E$2:$E1000 &amp; $C$2:$C1000, $A$2:$A1000=A758, $B$2:$B1000=B758, $D$2:$D1000&lt;&gt;D758))"),"#N/A")</f>
        <v>#N/A</v>
      </c>
    </row>
    <row r="759">
      <c r="J759" s="6"/>
      <c r="K759" s="6"/>
      <c r="N759" s="4" t="str">
        <f>IFERROR(__xludf.DUMMYFUNCTION("TEXTJOIN("","", TRUE, FILTER($E$2:$E1000 &amp; $C$2:$C1000, $A$2:$A1000=A759, $B$2:$B1000=B759, $D$2:$D1000&lt;&gt;D759))"),"#N/A")</f>
        <v>#N/A</v>
      </c>
    </row>
    <row r="760">
      <c r="J760" s="6"/>
      <c r="K760" s="6"/>
      <c r="N760" s="4" t="str">
        <f>IFERROR(__xludf.DUMMYFUNCTION("TEXTJOIN("","", TRUE, FILTER($E$2:$E1000 &amp; $C$2:$C1000, $A$2:$A1000=A760, $B$2:$B1000=B760, $D$2:$D1000&lt;&gt;D760))"),"#N/A")</f>
        <v>#N/A</v>
      </c>
    </row>
    <row r="761">
      <c r="J761" s="6"/>
      <c r="K761" s="6"/>
      <c r="N761" s="4" t="str">
        <f>IFERROR(__xludf.DUMMYFUNCTION("TEXTJOIN("","", TRUE, FILTER($E$2:$E1000 &amp; $C$2:$C1000, $A$2:$A1000=A761, $B$2:$B1000=B761, $D$2:$D1000&lt;&gt;D761))"),"#N/A")</f>
        <v>#N/A</v>
      </c>
    </row>
    <row r="762">
      <c r="J762" s="6"/>
      <c r="K762" s="6"/>
      <c r="N762" s="4" t="str">
        <f>IFERROR(__xludf.DUMMYFUNCTION("TEXTJOIN("","", TRUE, FILTER($E$2:$E1000 &amp; $C$2:$C1000, $A$2:$A1000=A762, $B$2:$B1000=B762, $D$2:$D1000&lt;&gt;D762))"),"#N/A")</f>
        <v>#N/A</v>
      </c>
    </row>
    <row r="763">
      <c r="J763" s="6"/>
      <c r="K763" s="6"/>
      <c r="N763" s="4" t="str">
        <f>IFERROR(__xludf.DUMMYFUNCTION("TEXTJOIN("","", TRUE, FILTER($E$2:$E1000 &amp; $C$2:$C1000, $A$2:$A1000=A763, $B$2:$B1000=B763, $D$2:$D1000&lt;&gt;D763))"),"#N/A")</f>
        <v>#N/A</v>
      </c>
    </row>
    <row r="764">
      <c r="J764" s="6"/>
      <c r="K764" s="6"/>
      <c r="N764" s="4" t="str">
        <f>IFERROR(__xludf.DUMMYFUNCTION("TEXTJOIN("","", TRUE, FILTER($E$2:$E1000 &amp; $C$2:$C1000, $A$2:$A1000=A764, $B$2:$B1000=B764, $D$2:$D1000&lt;&gt;D764))"),"#N/A")</f>
        <v>#N/A</v>
      </c>
    </row>
    <row r="765">
      <c r="J765" s="6"/>
      <c r="K765" s="6"/>
      <c r="N765" s="4" t="str">
        <f>IFERROR(__xludf.DUMMYFUNCTION("TEXTJOIN("","", TRUE, FILTER($E$2:$E1000 &amp; $C$2:$C1000, $A$2:$A1000=A765, $B$2:$B1000=B765, $D$2:$D1000&lt;&gt;D765))"),"#N/A")</f>
        <v>#N/A</v>
      </c>
    </row>
    <row r="766">
      <c r="J766" s="6"/>
      <c r="K766" s="6"/>
      <c r="N766" s="4" t="str">
        <f>IFERROR(__xludf.DUMMYFUNCTION("TEXTJOIN("","", TRUE, FILTER($E$2:$E1000 &amp; $C$2:$C1000, $A$2:$A1000=A766, $B$2:$B1000=B766, $D$2:$D1000&lt;&gt;D766))"),"#N/A")</f>
        <v>#N/A</v>
      </c>
    </row>
    <row r="767">
      <c r="J767" s="6"/>
      <c r="K767" s="6"/>
      <c r="N767" s="4" t="str">
        <f>IFERROR(__xludf.DUMMYFUNCTION("TEXTJOIN("","", TRUE, FILTER($E$2:$E1000 &amp; $C$2:$C1000, $A$2:$A1000=A767, $B$2:$B1000=B767, $D$2:$D1000&lt;&gt;D767))"),"#N/A")</f>
        <v>#N/A</v>
      </c>
    </row>
    <row r="768">
      <c r="J768" s="6"/>
      <c r="K768" s="6"/>
      <c r="N768" s="4" t="str">
        <f>IFERROR(__xludf.DUMMYFUNCTION("TEXTJOIN("","", TRUE, FILTER($E$2:$E1000 &amp; $C$2:$C1000, $A$2:$A1000=A768, $B$2:$B1000=B768, $D$2:$D1000&lt;&gt;D768))"),"#N/A")</f>
        <v>#N/A</v>
      </c>
    </row>
    <row r="769">
      <c r="J769" s="6"/>
      <c r="K769" s="6"/>
      <c r="N769" s="4" t="str">
        <f>IFERROR(__xludf.DUMMYFUNCTION("TEXTJOIN("","", TRUE, FILTER($E$2:$E1000 &amp; $C$2:$C1000, $A$2:$A1000=A769, $B$2:$B1000=B769, $D$2:$D1000&lt;&gt;D769))"),"#N/A")</f>
        <v>#N/A</v>
      </c>
    </row>
    <row r="770">
      <c r="J770" s="6"/>
      <c r="K770" s="6"/>
      <c r="N770" s="4" t="str">
        <f>IFERROR(__xludf.DUMMYFUNCTION("TEXTJOIN("","", TRUE, FILTER($E$2:$E1000 &amp; $C$2:$C1000, $A$2:$A1000=A770, $B$2:$B1000=B770, $D$2:$D1000&lt;&gt;D770))"),"#N/A")</f>
        <v>#N/A</v>
      </c>
    </row>
    <row r="771">
      <c r="J771" s="6"/>
      <c r="K771" s="6"/>
      <c r="N771" s="4" t="str">
        <f>IFERROR(__xludf.DUMMYFUNCTION("TEXTJOIN("","", TRUE, FILTER($E$2:$E1000 &amp; $C$2:$C1000, $A$2:$A1000=A771, $B$2:$B1000=B771, $D$2:$D1000&lt;&gt;D771))"),"#N/A")</f>
        <v>#N/A</v>
      </c>
    </row>
    <row r="772">
      <c r="J772" s="6"/>
      <c r="K772" s="6"/>
      <c r="N772" s="4" t="str">
        <f>IFERROR(__xludf.DUMMYFUNCTION("TEXTJOIN("","", TRUE, FILTER($E$2:$E1000 &amp; $C$2:$C1000, $A$2:$A1000=A772, $B$2:$B1000=B772, $D$2:$D1000&lt;&gt;D772))"),"#N/A")</f>
        <v>#N/A</v>
      </c>
    </row>
    <row r="773">
      <c r="J773" s="6"/>
      <c r="K773" s="6"/>
      <c r="N773" s="4" t="str">
        <f>IFERROR(__xludf.DUMMYFUNCTION("TEXTJOIN("","", TRUE, FILTER($E$2:$E1000 &amp; $C$2:$C1000, $A$2:$A1000=A773, $B$2:$B1000=B773, $D$2:$D1000&lt;&gt;D773))"),"#N/A")</f>
        <v>#N/A</v>
      </c>
    </row>
    <row r="774">
      <c r="J774" s="6"/>
      <c r="K774" s="6"/>
      <c r="N774" s="4" t="str">
        <f>IFERROR(__xludf.DUMMYFUNCTION("TEXTJOIN("","", TRUE, FILTER($E$2:$E1000 &amp; $C$2:$C1000, $A$2:$A1000=A774, $B$2:$B1000=B774, $D$2:$D1000&lt;&gt;D774))"),"#N/A")</f>
        <v>#N/A</v>
      </c>
    </row>
    <row r="775">
      <c r="J775" s="6"/>
      <c r="K775" s="6"/>
      <c r="N775" s="4" t="str">
        <f>IFERROR(__xludf.DUMMYFUNCTION("TEXTJOIN("","", TRUE, FILTER($E$2:$E1000 &amp; $C$2:$C1000, $A$2:$A1000=A775, $B$2:$B1000=B775, $D$2:$D1000&lt;&gt;D775))"),"#N/A")</f>
        <v>#N/A</v>
      </c>
    </row>
    <row r="776">
      <c r="J776" s="6"/>
      <c r="K776" s="6"/>
      <c r="N776" s="4" t="str">
        <f>IFERROR(__xludf.DUMMYFUNCTION("TEXTJOIN("","", TRUE, FILTER($E$2:$E1000 &amp; $C$2:$C1000, $A$2:$A1000=A776, $B$2:$B1000=B776, $D$2:$D1000&lt;&gt;D776))"),"#N/A")</f>
        <v>#N/A</v>
      </c>
    </row>
    <row r="777">
      <c r="J777" s="6"/>
      <c r="K777" s="6"/>
      <c r="N777" s="4" t="str">
        <f>IFERROR(__xludf.DUMMYFUNCTION("TEXTJOIN("","", TRUE, FILTER($E$2:$E1000 &amp; $C$2:$C1000, $A$2:$A1000=A777, $B$2:$B1000=B777, $D$2:$D1000&lt;&gt;D777))"),"#N/A")</f>
        <v>#N/A</v>
      </c>
    </row>
    <row r="778">
      <c r="J778" s="6"/>
      <c r="K778" s="6"/>
      <c r="N778" s="4" t="str">
        <f>IFERROR(__xludf.DUMMYFUNCTION("TEXTJOIN("","", TRUE, FILTER($E$2:$E1000 &amp; $C$2:$C1000, $A$2:$A1000=A778, $B$2:$B1000=B778, $D$2:$D1000&lt;&gt;D778))"),"#N/A")</f>
        <v>#N/A</v>
      </c>
    </row>
    <row r="779">
      <c r="J779" s="6"/>
      <c r="K779" s="6"/>
      <c r="N779" s="4" t="str">
        <f>IFERROR(__xludf.DUMMYFUNCTION("TEXTJOIN("","", TRUE, FILTER($E$2:$E1000 &amp; $C$2:$C1000, $A$2:$A1000=A779, $B$2:$B1000=B779, $D$2:$D1000&lt;&gt;D779))"),"#N/A")</f>
        <v>#N/A</v>
      </c>
    </row>
    <row r="780">
      <c r="J780" s="6"/>
      <c r="K780" s="6"/>
      <c r="N780" s="4" t="str">
        <f>IFERROR(__xludf.DUMMYFUNCTION("TEXTJOIN("","", TRUE, FILTER($E$2:$E1000 &amp; $C$2:$C1000, $A$2:$A1000=A780, $B$2:$B1000=B780, $D$2:$D1000&lt;&gt;D780))"),"#N/A")</f>
        <v>#N/A</v>
      </c>
    </row>
    <row r="781">
      <c r="J781" s="6"/>
      <c r="K781" s="6"/>
      <c r="N781" s="4" t="str">
        <f>IFERROR(__xludf.DUMMYFUNCTION("TEXTJOIN("","", TRUE, FILTER($E$2:$E1000 &amp; $C$2:$C1000, $A$2:$A1000=A781, $B$2:$B1000=B781, $D$2:$D1000&lt;&gt;D781))"),"#N/A")</f>
        <v>#N/A</v>
      </c>
    </row>
    <row r="782">
      <c r="J782" s="6"/>
      <c r="K782" s="6"/>
      <c r="N782" s="4" t="str">
        <f>IFERROR(__xludf.DUMMYFUNCTION("TEXTJOIN("","", TRUE, FILTER($E$2:$E1000 &amp; $C$2:$C1000, $A$2:$A1000=A782, $B$2:$B1000=B782, $D$2:$D1000&lt;&gt;D782))"),"#N/A")</f>
        <v>#N/A</v>
      </c>
    </row>
    <row r="783">
      <c r="J783" s="6"/>
      <c r="K783" s="6"/>
      <c r="N783" s="4" t="str">
        <f>IFERROR(__xludf.DUMMYFUNCTION("TEXTJOIN("","", TRUE, FILTER($E$2:$E1000 &amp; $C$2:$C1000, $A$2:$A1000=A783, $B$2:$B1000=B783, $D$2:$D1000&lt;&gt;D783))"),"#N/A")</f>
        <v>#N/A</v>
      </c>
    </row>
    <row r="784">
      <c r="J784" s="6"/>
      <c r="K784" s="6"/>
      <c r="N784" s="4" t="str">
        <f>IFERROR(__xludf.DUMMYFUNCTION("TEXTJOIN("","", TRUE, FILTER($E$2:$E1000 &amp; $C$2:$C1000, $A$2:$A1000=A784, $B$2:$B1000=B784, $D$2:$D1000&lt;&gt;D784))"),"#N/A")</f>
        <v>#N/A</v>
      </c>
    </row>
    <row r="785">
      <c r="J785" s="6"/>
      <c r="K785" s="6"/>
      <c r="N785" s="4" t="str">
        <f>IFERROR(__xludf.DUMMYFUNCTION("TEXTJOIN("","", TRUE, FILTER($E$2:$E1000 &amp; $C$2:$C1000, $A$2:$A1000=A785, $B$2:$B1000=B785, $D$2:$D1000&lt;&gt;D785))"),"#N/A")</f>
        <v>#N/A</v>
      </c>
    </row>
    <row r="786">
      <c r="J786" s="6"/>
      <c r="K786" s="6"/>
      <c r="N786" s="4" t="str">
        <f>IFERROR(__xludf.DUMMYFUNCTION("TEXTJOIN("","", TRUE, FILTER($E$2:$E1000 &amp; $C$2:$C1000, $A$2:$A1000=A786, $B$2:$B1000=B786, $D$2:$D1000&lt;&gt;D786))"),"#N/A")</f>
        <v>#N/A</v>
      </c>
    </row>
    <row r="787">
      <c r="J787" s="6"/>
      <c r="K787" s="6"/>
      <c r="N787" s="4" t="str">
        <f>IFERROR(__xludf.DUMMYFUNCTION("TEXTJOIN("","", TRUE, FILTER($E$2:$E1000 &amp; $C$2:$C1000, $A$2:$A1000=A787, $B$2:$B1000=B787, $D$2:$D1000&lt;&gt;D787))"),"#N/A")</f>
        <v>#N/A</v>
      </c>
    </row>
    <row r="788">
      <c r="J788" s="6"/>
      <c r="K788" s="6"/>
      <c r="N788" s="4" t="str">
        <f>IFERROR(__xludf.DUMMYFUNCTION("TEXTJOIN("","", TRUE, FILTER($E$2:$E1000 &amp; $C$2:$C1000, $A$2:$A1000=A788, $B$2:$B1000=B788, $D$2:$D1000&lt;&gt;D788))"),"#N/A")</f>
        <v>#N/A</v>
      </c>
    </row>
    <row r="789">
      <c r="J789" s="6"/>
      <c r="K789" s="6"/>
      <c r="N789" s="4" t="str">
        <f>IFERROR(__xludf.DUMMYFUNCTION("TEXTJOIN("","", TRUE, FILTER($E$2:$E1000 &amp; $C$2:$C1000, $A$2:$A1000=A789, $B$2:$B1000=B789, $D$2:$D1000&lt;&gt;D789))"),"#N/A")</f>
        <v>#N/A</v>
      </c>
    </row>
    <row r="790">
      <c r="J790" s="6"/>
      <c r="K790" s="6"/>
      <c r="N790" s="4" t="str">
        <f>IFERROR(__xludf.DUMMYFUNCTION("TEXTJOIN("","", TRUE, FILTER($E$2:$E1000 &amp; $C$2:$C1000, $A$2:$A1000=A790, $B$2:$B1000=B790, $D$2:$D1000&lt;&gt;D790))"),"#N/A")</f>
        <v>#N/A</v>
      </c>
    </row>
    <row r="791">
      <c r="J791" s="6"/>
      <c r="K791" s="6"/>
      <c r="N791" s="4" t="str">
        <f>IFERROR(__xludf.DUMMYFUNCTION("TEXTJOIN("","", TRUE, FILTER($E$2:$E1000 &amp; $C$2:$C1000, $A$2:$A1000=A791, $B$2:$B1000=B791, $D$2:$D1000&lt;&gt;D791))"),"#N/A")</f>
        <v>#N/A</v>
      </c>
    </row>
    <row r="792">
      <c r="J792" s="6"/>
      <c r="K792" s="6"/>
      <c r="N792" s="4" t="str">
        <f>IFERROR(__xludf.DUMMYFUNCTION("TEXTJOIN("","", TRUE, FILTER($E$2:$E1000 &amp; $C$2:$C1000, $A$2:$A1000=A792, $B$2:$B1000=B792, $D$2:$D1000&lt;&gt;D792))"),"#N/A")</f>
        <v>#N/A</v>
      </c>
    </row>
    <row r="793">
      <c r="J793" s="6"/>
      <c r="K793" s="6"/>
      <c r="N793" s="4" t="str">
        <f>IFERROR(__xludf.DUMMYFUNCTION("TEXTJOIN("","", TRUE, FILTER($E$2:$E1000 &amp; $C$2:$C1000, $A$2:$A1000=A793, $B$2:$B1000=B793, $D$2:$D1000&lt;&gt;D793))"),"#N/A")</f>
        <v>#N/A</v>
      </c>
    </row>
    <row r="794">
      <c r="J794" s="6"/>
      <c r="K794" s="6"/>
      <c r="N794" s="4" t="str">
        <f>IFERROR(__xludf.DUMMYFUNCTION("TEXTJOIN("","", TRUE, FILTER($E$2:$E1000 &amp; $C$2:$C1000, $A$2:$A1000=A794, $B$2:$B1000=B794, $D$2:$D1000&lt;&gt;D794))"),"#N/A")</f>
        <v>#N/A</v>
      </c>
    </row>
    <row r="795">
      <c r="J795" s="6"/>
      <c r="K795" s="6"/>
      <c r="N795" s="4" t="str">
        <f>IFERROR(__xludf.DUMMYFUNCTION("TEXTJOIN("","", TRUE, FILTER($E$2:$E1000 &amp; $C$2:$C1000, $A$2:$A1000=A795, $B$2:$B1000=B795, $D$2:$D1000&lt;&gt;D795))"),"#N/A")</f>
        <v>#N/A</v>
      </c>
    </row>
    <row r="796">
      <c r="J796" s="6"/>
      <c r="K796" s="6"/>
      <c r="N796" s="4" t="str">
        <f>IFERROR(__xludf.DUMMYFUNCTION("TEXTJOIN("","", TRUE, FILTER($E$2:$E1000 &amp; $C$2:$C1000, $A$2:$A1000=A796, $B$2:$B1000=B796, $D$2:$D1000&lt;&gt;D796))"),"#N/A")</f>
        <v>#N/A</v>
      </c>
    </row>
    <row r="797">
      <c r="J797" s="6"/>
      <c r="K797" s="6"/>
      <c r="N797" s="4" t="str">
        <f>IFERROR(__xludf.DUMMYFUNCTION("TEXTJOIN("","", TRUE, FILTER($E$2:$E1000 &amp; $C$2:$C1000, $A$2:$A1000=A797, $B$2:$B1000=B797, $D$2:$D1000&lt;&gt;D797))"),"#N/A")</f>
        <v>#N/A</v>
      </c>
    </row>
    <row r="798">
      <c r="J798" s="6"/>
      <c r="K798" s="6"/>
      <c r="N798" s="4" t="str">
        <f>IFERROR(__xludf.DUMMYFUNCTION("TEXTJOIN("","", TRUE, FILTER($E$2:$E1000 &amp; $C$2:$C1000, $A$2:$A1000=A798, $B$2:$B1000=B798, $D$2:$D1000&lt;&gt;D798))"),"#N/A")</f>
        <v>#N/A</v>
      </c>
    </row>
    <row r="799">
      <c r="J799" s="6"/>
      <c r="K799" s="6"/>
      <c r="N799" s="4" t="str">
        <f>IFERROR(__xludf.DUMMYFUNCTION("TEXTJOIN("","", TRUE, FILTER($E$2:$E1000 &amp; $C$2:$C1000, $A$2:$A1000=A799, $B$2:$B1000=B799, $D$2:$D1000&lt;&gt;D799))"),"#N/A")</f>
        <v>#N/A</v>
      </c>
    </row>
    <row r="800">
      <c r="J800" s="6"/>
      <c r="K800" s="6"/>
      <c r="N800" s="4" t="str">
        <f>IFERROR(__xludf.DUMMYFUNCTION("TEXTJOIN("","", TRUE, FILTER($E$2:$E1000 &amp; $C$2:$C1000, $A$2:$A1000=A800, $B$2:$B1000=B800, $D$2:$D1000&lt;&gt;D800))"),"#N/A")</f>
        <v>#N/A</v>
      </c>
    </row>
    <row r="801">
      <c r="J801" s="6"/>
      <c r="K801" s="6"/>
      <c r="N801" s="4" t="str">
        <f>IFERROR(__xludf.DUMMYFUNCTION("TEXTJOIN("","", TRUE, FILTER($E$2:$E1000 &amp; $C$2:$C1000, $A$2:$A1000=A801, $B$2:$B1000=B801, $D$2:$D1000&lt;&gt;D801))"),"#N/A")</f>
        <v>#N/A</v>
      </c>
    </row>
    <row r="802">
      <c r="J802" s="6"/>
      <c r="K802" s="6"/>
      <c r="N802" s="4" t="str">
        <f>IFERROR(__xludf.DUMMYFUNCTION("TEXTJOIN("","", TRUE, FILTER($E$2:$E1000 &amp; $C$2:$C1000, $A$2:$A1000=A802, $B$2:$B1000=B802, $D$2:$D1000&lt;&gt;D802))"),"#N/A")</f>
        <v>#N/A</v>
      </c>
    </row>
    <row r="803">
      <c r="J803" s="6"/>
      <c r="K803" s="6"/>
      <c r="N803" s="4" t="str">
        <f>IFERROR(__xludf.DUMMYFUNCTION("TEXTJOIN("","", TRUE, FILTER($E$2:$E1000 &amp; $C$2:$C1000, $A$2:$A1000=A803, $B$2:$B1000=B803, $D$2:$D1000&lt;&gt;D803))"),"#N/A")</f>
        <v>#N/A</v>
      </c>
    </row>
    <row r="804">
      <c r="J804" s="6"/>
      <c r="K804" s="6"/>
      <c r="N804" s="4" t="str">
        <f>IFERROR(__xludf.DUMMYFUNCTION("TEXTJOIN("","", TRUE, FILTER($E$2:$E1000 &amp; $C$2:$C1000, $A$2:$A1000=A804, $B$2:$B1000=B804, $D$2:$D1000&lt;&gt;D804))"),"#N/A")</f>
        <v>#N/A</v>
      </c>
    </row>
    <row r="805">
      <c r="J805" s="6"/>
      <c r="K805" s="6"/>
      <c r="N805" s="4" t="str">
        <f>IFERROR(__xludf.DUMMYFUNCTION("TEXTJOIN("","", TRUE, FILTER($E$2:$E1000 &amp; $C$2:$C1000, $A$2:$A1000=A805, $B$2:$B1000=B805, $D$2:$D1000&lt;&gt;D805))"),"#N/A")</f>
        <v>#N/A</v>
      </c>
    </row>
    <row r="806">
      <c r="J806" s="6"/>
      <c r="K806" s="6"/>
      <c r="N806" s="4" t="str">
        <f>IFERROR(__xludf.DUMMYFUNCTION("TEXTJOIN("","", TRUE, FILTER($E$2:$E1000 &amp; $C$2:$C1000, $A$2:$A1000=A806, $B$2:$B1000=B806, $D$2:$D1000&lt;&gt;D806))"),"#N/A")</f>
        <v>#N/A</v>
      </c>
    </row>
    <row r="807">
      <c r="J807" s="6"/>
      <c r="K807" s="6"/>
      <c r="N807" s="4" t="str">
        <f>IFERROR(__xludf.DUMMYFUNCTION("TEXTJOIN("","", TRUE, FILTER($E$2:$E1000 &amp; $C$2:$C1000, $A$2:$A1000=A807, $B$2:$B1000=B807, $D$2:$D1000&lt;&gt;D807))"),"#N/A")</f>
        <v>#N/A</v>
      </c>
    </row>
    <row r="808">
      <c r="J808" s="6"/>
      <c r="K808" s="6"/>
      <c r="N808" s="4" t="str">
        <f>IFERROR(__xludf.DUMMYFUNCTION("TEXTJOIN("","", TRUE, FILTER($E$2:$E1000 &amp; $C$2:$C1000, $A$2:$A1000=A808, $B$2:$B1000=B808, $D$2:$D1000&lt;&gt;D808))"),"#N/A")</f>
        <v>#N/A</v>
      </c>
    </row>
    <row r="809">
      <c r="J809" s="6"/>
      <c r="K809" s="6"/>
      <c r="N809" s="4" t="str">
        <f>IFERROR(__xludf.DUMMYFUNCTION("TEXTJOIN("","", TRUE, FILTER($E$2:$E1000 &amp; $C$2:$C1000, $A$2:$A1000=A809, $B$2:$B1000=B809, $D$2:$D1000&lt;&gt;D809))"),"#N/A")</f>
        <v>#N/A</v>
      </c>
    </row>
    <row r="810">
      <c r="J810" s="6"/>
      <c r="K810" s="6"/>
      <c r="N810" s="4" t="str">
        <f>IFERROR(__xludf.DUMMYFUNCTION("TEXTJOIN("","", TRUE, FILTER($E$2:$E1000 &amp; $C$2:$C1000, $A$2:$A1000=A810, $B$2:$B1000=B810, $D$2:$D1000&lt;&gt;D810))"),"#N/A")</f>
        <v>#N/A</v>
      </c>
    </row>
    <row r="811">
      <c r="J811" s="6"/>
      <c r="K811" s="6"/>
      <c r="N811" s="4" t="str">
        <f>IFERROR(__xludf.DUMMYFUNCTION("TEXTJOIN("","", TRUE, FILTER($E$2:$E1000 &amp; $C$2:$C1000, $A$2:$A1000=A811, $B$2:$B1000=B811, $D$2:$D1000&lt;&gt;D811))"),"#N/A")</f>
        <v>#N/A</v>
      </c>
    </row>
    <row r="812">
      <c r="J812" s="6"/>
      <c r="K812" s="6"/>
      <c r="N812" s="4" t="str">
        <f>IFERROR(__xludf.DUMMYFUNCTION("TEXTJOIN("","", TRUE, FILTER($E$2:$E1000 &amp; $C$2:$C1000, $A$2:$A1000=A812, $B$2:$B1000=B812, $D$2:$D1000&lt;&gt;D812))"),"#N/A")</f>
        <v>#N/A</v>
      </c>
    </row>
    <row r="813">
      <c r="J813" s="6"/>
      <c r="K813" s="6"/>
      <c r="N813" s="4" t="str">
        <f>IFERROR(__xludf.DUMMYFUNCTION("TEXTJOIN("","", TRUE, FILTER($E$2:$E1000 &amp; $C$2:$C1000, $A$2:$A1000=A813, $B$2:$B1000=B813, $D$2:$D1000&lt;&gt;D813))"),"#N/A")</f>
        <v>#N/A</v>
      </c>
    </row>
    <row r="814">
      <c r="J814" s="6"/>
      <c r="K814" s="6"/>
      <c r="N814" s="4" t="str">
        <f>IFERROR(__xludf.DUMMYFUNCTION("TEXTJOIN("","", TRUE, FILTER($E$2:$E1000 &amp; $C$2:$C1000, $A$2:$A1000=A814, $B$2:$B1000=B814, $D$2:$D1000&lt;&gt;D814))"),"#N/A")</f>
        <v>#N/A</v>
      </c>
    </row>
    <row r="815">
      <c r="J815" s="6"/>
      <c r="K815" s="6"/>
      <c r="N815" s="4" t="str">
        <f>IFERROR(__xludf.DUMMYFUNCTION("TEXTJOIN("","", TRUE, FILTER($E$2:$E1000 &amp; $C$2:$C1000, $A$2:$A1000=A815, $B$2:$B1000=B815, $D$2:$D1000&lt;&gt;D815))"),"#N/A")</f>
        <v>#N/A</v>
      </c>
    </row>
    <row r="816">
      <c r="J816" s="6"/>
      <c r="K816" s="6"/>
      <c r="N816" s="4" t="str">
        <f>IFERROR(__xludf.DUMMYFUNCTION("TEXTJOIN("","", TRUE, FILTER($E$2:$E1000 &amp; $C$2:$C1000, $A$2:$A1000=A816, $B$2:$B1000=B816, $D$2:$D1000&lt;&gt;D816))"),"#N/A")</f>
        <v>#N/A</v>
      </c>
    </row>
    <row r="817">
      <c r="J817" s="6"/>
      <c r="K817" s="6"/>
      <c r="N817" s="4" t="str">
        <f>IFERROR(__xludf.DUMMYFUNCTION("TEXTJOIN("","", TRUE, FILTER($E$2:$E1000 &amp; $C$2:$C1000, $A$2:$A1000=A817, $B$2:$B1000=B817, $D$2:$D1000&lt;&gt;D817))"),"#N/A")</f>
        <v>#N/A</v>
      </c>
    </row>
    <row r="818">
      <c r="J818" s="6"/>
      <c r="K818" s="6"/>
      <c r="N818" s="4" t="str">
        <f>IFERROR(__xludf.DUMMYFUNCTION("TEXTJOIN("","", TRUE, FILTER($E$2:$E1000 &amp; $C$2:$C1000, $A$2:$A1000=A818, $B$2:$B1000=B818, $D$2:$D1000&lt;&gt;D818))"),"#N/A")</f>
        <v>#N/A</v>
      </c>
    </row>
    <row r="819">
      <c r="J819" s="6"/>
      <c r="K819" s="6"/>
      <c r="N819" s="4" t="str">
        <f>IFERROR(__xludf.DUMMYFUNCTION("TEXTJOIN("","", TRUE, FILTER($E$2:$E1000 &amp; $C$2:$C1000, $A$2:$A1000=A819, $B$2:$B1000=B819, $D$2:$D1000&lt;&gt;D819))"),"#N/A")</f>
        <v>#N/A</v>
      </c>
    </row>
    <row r="820">
      <c r="J820" s="6"/>
      <c r="K820" s="6"/>
      <c r="N820" s="4" t="str">
        <f>IFERROR(__xludf.DUMMYFUNCTION("TEXTJOIN("","", TRUE, FILTER($E$2:$E1000 &amp; $C$2:$C1000, $A$2:$A1000=A820, $B$2:$B1000=B820, $D$2:$D1000&lt;&gt;D820))"),"#N/A")</f>
        <v>#N/A</v>
      </c>
    </row>
    <row r="821">
      <c r="J821" s="6"/>
      <c r="K821" s="6"/>
      <c r="N821" s="4" t="str">
        <f>IFERROR(__xludf.DUMMYFUNCTION("TEXTJOIN("","", TRUE, FILTER($E$2:$E1000 &amp; $C$2:$C1000, $A$2:$A1000=A821, $B$2:$B1000=B821, $D$2:$D1000&lt;&gt;D821))"),"#N/A")</f>
        <v>#N/A</v>
      </c>
    </row>
    <row r="822">
      <c r="J822" s="6"/>
      <c r="K822" s="6"/>
      <c r="N822" s="4" t="str">
        <f>IFERROR(__xludf.DUMMYFUNCTION("TEXTJOIN("","", TRUE, FILTER($E$2:$E1000 &amp; $C$2:$C1000, $A$2:$A1000=A822, $B$2:$B1000=B822, $D$2:$D1000&lt;&gt;D822))"),"#N/A")</f>
        <v>#N/A</v>
      </c>
    </row>
    <row r="823">
      <c r="J823" s="6"/>
      <c r="K823" s="6"/>
      <c r="N823" s="4" t="str">
        <f>IFERROR(__xludf.DUMMYFUNCTION("TEXTJOIN("","", TRUE, FILTER($E$2:$E1000 &amp; $C$2:$C1000, $A$2:$A1000=A823, $B$2:$B1000=B823, $D$2:$D1000&lt;&gt;D823))"),"#N/A")</f>
        <v>#N/A</v>
      </c>
    </row>
    <row r="824">
      <c r="J824" s="6"/>
      <c r="K824" s="6"/>
      <c r="N824" s="4" t="str">
        <f>IFERROR(__xludf.DUMMYFUNCTION("TEXTJOIN("","", TRUE, FILTER($E$2:$E1000 &amp; $C$2:$C1000, $A$2:$A1000=A824, $B$2:$B1000=B824, $D$2:$D1000&lt;&gt;D824))"),"#N/A")</f>
        <v>#N/A</v>
      </c>
    </row>
    <row r="825">
      <c r="J825" s="6"/>
      <c r="K825" s="6"/>
      <c r="N825" s="4" t="str">
        <f>IFERROR(__xludf.DUMMYFUNCTION("TEXTJOIN("","", TRUE, FILTER($E$2:$E1000 &amp; $C$2:$C1000, $A$2:$A1000=A825, $B$2:$B1000=B825, $D$2:$D1000&lt;&gt;D825))"),"#N/A")</f>
        <v>#N/A</v>
      </c>
    </row>
    <row r="826">
      <c r="J826" s="6"/>
      <c r="K826" s="6"/>
      <c r="N826" s="4" t="str">
        <f>IFERROR(__xludf.DUMMYFUNCTION("TEXTJOIN("","", TRUE, FILTER($E$2:$E1000 &amp; $C$2:$C1000, $A$2:$A1000=A826, $B$2:$B1000=B826, $D$2:$D1000&lt;&gt;D826))"),"#N/A")</f>
        <v>#N/A</v>
      </c>
    </row>
    <row r="827">
      <c r="J827" s="6"/>
      <c r="K827" s="6"/>
      <c r="N827" s="4" t="str">
        <f>IFERROR(__xludf.DUMMYFUNCTION("TEXTJOIN("","", TRUE, FILTER($E$2:$E1000 &amp; $C$2:$C1000, $A$2:$A1000=A827, $B$2:$B1000=B827, $D$2:$D1000&lt;&gt;D827))"),"#N/A")</f>
        <v>#N/A</v>
      </c>
    </row>
    <row r="828">
      <c r="J828" s="6"/>
      <c r="K828" s="6"/>
      <c r="N828" s="4" t="str">
        <f>IFERROR(__xludf.DUMMYFUNCTION("TEXTJOIN("","", TRUE, FILTER($E$2:$E1000 &amp; $C$2:$C1000, $A$2:$A1000=A828, $B$2:$B1000=B828, $D$2:$D1000&lt;&gt;D828))"),"#N/A")</f>
        <v>#N/A</v>
      </c>
    </row>
    <row r="829">
      <c r="J829" s="6"/>
      <c r="K829" s="6"/>
      <c r="N829" s="4" t="str">
        <f>IFERROR(__xludf.DUMMYFUNCTION("TEXTJOIN("","", TRUE, FILTER($E$2:$E1000 &amp; $C$2:$C1000, $A$2:$A1000=A829, $B$2:$B1000=B829, $D$2:$D1000&lt;&gt;D829))"),"#N/A")</f>
        <v>#N/A</v>
      </c>
    </row>
    <row r="830">
      <c r="J830" s="6"/>
      <c r="K830" s="6"/>
      <c r="N830" s="4" t="str">
        <f>IFERROR(__xludf.DUMMYFUNCTION("TEXTJOIN("","", TRUE, FILTER($E$2:$E1000 &amp; $C$2:$C1000, $A$2:$A1000=A830, $B$2:$B1000=B830, $D$2:$D1000&lt;&gt;D830))"),"#N/A")</f>
        <v>#N/A</v>
      </c>
    </row>
    <row r="831">
      <c r="J831" s="6"/>
      <c r="K831" s="6"/>
      <c r="N831" s="4" t="str">
        <f>IFERROR(__xludf.DUMMYFUNCTION("TEXTJOIN("","", TRUE, FILTER($E$2:$E1000 &amp; $C$2:$C1000, $A$2:$A1000=A831, $B$2:$B1000=B831, $D$2:$D1000&lt;&gt;D831))"),"#N/A")</f>
        <v>#N/A</v>
      </c>
    </row>
    <row r="832">
      <c r="J832" s="6"/>
      <c r="K832" s="6"/>
      <c r="N832" s="4" t="str">
        <f>IFERROR(__xludf.DUMMYFUNCTION("TEXTJOIN("","", TRUE, FILTER($E$2:$E1000 &amp; $C$2:$C1000, $A$2:$A1000=A832, $B$2:$B1000=B832, $D$2:$D1000&lt;&gt;D832))"),"#N/A")</f>
        <v>#N/A</v>
      </c>
    </row>
    <row r="833">
      <c r="J833" s="6"/>
      <c r="K833" s="6"/>
      <c r="N833" s="4" t="str">
        <f>IFERROR(__xludf.DUMMYFUNCTION("TEXTJOIN("","", TRUE, FILTER($E$2:$E1000 &amp; $C$2:$C1000, $A$2:$A1000=A833, $B$2:$B1000=B833, $D$2:$D1000&lt;&gt;D833))"),"#N/A")</f>
        <v>#N/A</v>
      </c>
    </row>
    <row r="834">
      <c r="J834" s="6"/>
      <c r="K834" s="6"/>
      <c r="N834" s="4" t="str">
        <f>IFERROR(__xludf.DUMMYFUNCTION("TEXTJOIN("","", TRUE, FILTER($E$2:$E1000 &amp; $C$2:$C1000, $A$2:$A1000=A834, $B$2:$B1000=B834, $D$2:$D1000&lt;&gt;D834))"),"#N/A")</f>
        <v>#N/A</v>
      </c>
    </row>
    <row r="835">
      <c r="J835" s="6"/>
      <c r="K835" s="6"/>
      <c r="N835" s="4" t="str">
        <f>IFERROR(__xludf.DUMMYFUNCTION("TEXTJOIN("","", TRUE, FILTER($E$2:$E1000 &amp; $C$2:$C1000, $A$2:$A1000=A835, $B$2:$B1000=B835, $D$2:$D1000&lt;&gt;D835))"),"#N/A")</f>
        <v>#N/A</v>
      </c>
    </row>
    <row r="836">
      <c r="J836" s="6"/>
      <c r="K836" s="6"/>
      <c r="N836" s="4" t="str">
        <f>IFERROR(__xludf.DUMMYFUNCTION("TEXTJOIN("","", TRUE, FILTER($E$2:$E1000 &amp; $C$2:$C1000, $A$2:$A1000=A836, $B$2:$B1000=B836, $D$2:$D1000&lt;&gt;D836))"),"#N/A")</f>
        <v>#N/A</v>
      </c>
    </row>
    <row r="837">
      <c r="J837" s="6"/>
      <c r="K837" s="6"/>
      <c r="N837" s="4" t="str">
        <f>IFERROR(__xludf.DUMMYFUNCTION("TEXTJOIN("","", TRUE, FILTER($E$2:$E1000 &amp; $C$2:$C1000, $A$2:$A1000=A837, $B$2:$B1000=B837, $D$2:$D1000&lt;&gt;D837))"),"#N/A")</f>
        <v>#N/A</v>
      </c>
    </row>
    <row r="838">
      <c r="J838" s="6"/>
      <c r="K838" s="6"/>
      <c r="N838" s="4" t="str">
        <f>IFERROR(__xludf.DUMMYFUNCTION("TEXTJOIN("","", TRUE, FILTER($E$2:$E1000 &amp; $C$2:$C1000, $A$2:$A1000=A838, $B$2:$B1000=B838, $D$2:$D1000&lt;&gt;D838))"),"#N/A")</f>
        <v>#N/A</v>
      </c>
    </row>
    <row r="839">
      <c r="J839" s="6"/>
      <c r="K839" s="6"/>
      <c r="N839" s="4" t="str">
        <f>IFERROR(__xludf.DUMMYFUNCTION("TEXTJOIN("","", TRUE, FILTER($E$2:$E1000 &amp; $C$2:$C1000, $A$2:$A1000=A839, $B$2:$B1000=B839, $D$2:$D1000&lt;&gt;D839))"),"#N/A")</f>
        <v>#N/A</v>
      </c>
    </row>
    <row r="840">
      <c r="J840" s="6"/>
      <c r="K840" s="6"/>
      <c r="N840" s="4" t="str">
        <f>IFERROR(__xludf.DUMMYFUNCTION("TEXTJOIN("","", TRUE, FILTER($E$2:$E1000 &amp; $C$2:$C1000, $A$2:$A1000=A840, $B$2:$B1000=B840, $D$2:$D1000&lt;&gt;D840))"),"#N/A")</f>
        <v>#N/A</v>
      </c>
    </row>
    <row r="841">
      <c r="J841" s="6"/>
      <c r="K841" s="6"/>
      <c r="N841" s="4" t="str">
        <f>IFERROR(__xludf.DUMMYFUNCTION("TEXTJOIN("","", TRUE, FILTER($E$2:$E1000 &amp; $C$2:$C1000, $A$2:$A1000=A841, $B$2:$B1000=B841, $D$2:$D1000&lt;&gt;D841))"),"#N/A")</f>
        <v>#N/A</v>
      </c>
    </row>
    <row r="842">
      <c r="J842" s="6"/>
      <c r="K842" s="6"/>
      <c r="N842" s="4" t="str">
        <f>IFERROR(__xludf.DUMMYFUNCTION("TEXTJOIN("","", TRUE, FILTER($E$2:$E1000 &amp; $C$2:$C1000, $A$2:$A1000=A842, $B$2:$B1000=B842, $D$2:$D1000&lt;&gt;D842))"),"#N/A")</f>
        <v>#N/A</v>
      </c>
    </row>
    <row r="843">
      <c r="J843" s="6"/>
      <c r="K843" s="6"/>
      <c r="N843" s="4" t="str">
        <f>IFERROR(__xludf.DUMMYFUNCTION("TEXTJOIN("","", TRUE, FILTER($E$2:$E1000 &amp; $C$2:$C1000, $A$2:$A1000=A843, $B$2:$B1000=B843, $D$2:$D1000&lt;&gt;D843))"),"#N/A")</f>
        <v>#N/A</v>
      </c>
    </row>
    <row r="844">
      <c r="J844" s="6"/>
      <c r="K844" s="6"/>
      <c r="N844" s="4" t="str">
        <f>IFERROR(__xludf.DUMMYFUNCTION("TEXTJOIN("","", TRUE, FILTER($E$2:$E1000 &amp; $C$2:$C1000, $A$2:$A1000=A844, $B$2:$B1000=B844, $D$2:$D1000&lt;&gt;D844))"),"#N/A")</f>
        <v>#N/A</v>
      </c>
    </row>
    <row r="845">
      <c r="J845" s="6"/>
      <c r="K845" s="6"/>
      <c r="N845" s="4" t="str">
        <f>IFERROR(__xludf.DUMMYFUNCTION("TEXTJOIN("","", TRUE, FILTER($E$2:$E1000 &amp; $C$2:$C1000, $A$2:$A1000=A845, $B$2:$B1000=B845, $D$2:$D1000&lt;&gt;D845))"),"#N/A")</f>
        <v>#N/A</v>
      </c>
    </row>
    <row r="846">
      <c r="J846" s="6"/>
      <c r="K846" s="6"/>
      <c r="N846" s="4" t="str">
        <f>IFERROR(__xludf.DUMMYFUNCTION("TEXTJOIN("","", TRUE, FILTER($E$2:$E1000 &amp; $C$2:$C1000, $A$2:$A1000=A846, $B$2:$B1000=B846, $D$2:$D1000&lt;&gt;D846))"),"#N/A")</f>
        <v>#N/A</v>
      </c>
    </row>
    <row r="847">
      <c r="J847" s="6"/>
      <c r="K847" s="6"/>
      <c r="N847" s="4" t="str">
        <f>IFERROR(__xludf.DUMMYFUNCTION("TEXTJOIN("","", TRUE, FILTER($E$2:$E1000 &amp; $C$2:$C1000, $A$2:$A1000=A847, $B$2:$B1000=B847, $D$2:$D1000&lt;&gt;D847))"),"#N/A")</f>
        <v>#N/A</v>
      </c>
    </row>
    <row r="848">
      <c r="J848" s="6"/>
      <c r="K848" s="6"/>
      <c r="N848" s="4" t="str">
        <f>IFERROR(__xludf.DUMMYFUNCTION("TEXTJOIN("","", TRUE, FILTER($E$2:$E1000 &amp; $C$2:$C1000, $A$2:$A1000=A848, $B$2:$B1000=B848, $D$2:$D1000&lt;&gt;D848))"),"#N/A")</f>
        <v>#N/A</v>
      </c>
    </row>
    <row r="849">
      <c r="J849" s="6"/>
      <c r="K849" s="6"/>
      <c r="N849" s="4" t="str">
        <f>IFERROR(__xludf.DUMMYFUNCTION("TEXTJOIN("","", TRUE, FILTER($E$2:$E1000 &amp; $C$2:$C1000, $A$2:$A1000=A849, $B$2:$B1000=B849, $D$2:$D1000&lt;&gt;D849))"),"#N/A")</f>
        <v>#N/A</v>
      </c>
    </row>
    <row r="850">
      <c r="J850" s="6"/>
      <c r="K850" s="6"/>
      <c r="N850" s="4" t="str">
        <f>IFERROR(__xludf.DUMMYFUNCTION("TEXTJOIN("","", TRUE, FILTER($E$2:$E1000 &amp; $C$2:$C1000, $A$2:$A1000=A850, $B$2:$B1000=B850, $D$2:$D1000&lt;&gt;D850))"),"#N/A")</f>
        <v>#N/A</v>
      </c>
    </row>
    <row r="851">
      <c r="J851" s="6"/>
      <c r="K851" s="6"/>
      <c r="N851" s="4" t="str">
        <f>IFERROR(__xludf.DUMMYFUNCTION("TEXTJOIN("","", TRUE, FILTER($E$2:$E1000 &amp; $C$2:$C1000, $A$2:$A1000=A851, $B$2:$B1000=B851, $D$2:$D1000&lt;&gt;D851))"),"#N/A")</f>
        <v>#N/A</v>
      </c>
    </row>
    <row r="852">
      <c r="J852" s="6"/>
      <c r="K852" s="6"/>
      <c r="N852" s="4" t="str">
        <f>IFERROR(__xludf.DUMMYFUNCTION("TEXTJOIN("","", TRUE, FILTER($E$2:$E1000 &amp; $C$2:$C1000, $A$2:$A1000=A852, $B$2:$B1000=B852, $D$2:$D1000&lt;&gt;D852))"),"#N/A")</f>
        <v>#N/A</v>
      </c>
    </row>
    <row r="853">
      <c r="J853" s="6"/>
      <c r="K853" s="6"/>
      <c r="N853" s="4" t="str">
        <f>IFERROR(__xludf.DUMMYFUNCTION("TEXTJOIN("","", TRUE, FILTER($E$2:$E1000 &amp; $C$2:$C1000, $A$2:$A1000=A853, $B$2:$B1000=B853, $D$2:$D1000&lt;&gt;D853))"),"#N/A")</f>
        <v>#N/A</v>
      </c>
    </row>
    <row r="854">
      <c r="J854" s="6"/>
      <c r="K854" s="6"/>
      <c r="N854" s="4" t="str">
        <f>IFERROR(__xludf.DUMMYFUNCTION("TEXTJOIN("","", TRUE, FILTER($E$2:$E1000 &amp; $C$2:$C1000, $A$2:$A1000=A854, $B$2:$B1000=B854, $D$2:$D1000&lt;&gt;D854))"),"#N/A")</f>
        <v>#N/A</v>
      </c>
    </row>
    <row r="855">
      <c r="J855" s="6"/>
      <c r="K855" s="6"/>
      <c r="N855" s="4" t="str">
        <f>IFERROR(__xludf.DUMMYFUNCTION("TEXTJOIN("","", TRUE, FILTER($E$2:$E1000 &amp; $C$2:$C1000, $A$2:$A1000=A855, $B$2:$B1000=B855, $D$2:$D1000&lt;&gt;D855))"),"#N/A")</f>
        <v>#N/A</v>
      </c>
    </row>
    <row r="856">
      <c r="J856" s="6"/>
      <c r="K856" s="6"/>
      <c r="N856" s="4" t="str">
        <f>IFERROR(__xludf.DUMMYFUNCTION("TEXTJOIN("","", TRUE, FILTER($E$2:$E1000 &amp; $C$2:$C1000, $A$2:$A1000=A856, $B$2:$B1000=B856, $D$2:$D1000&lt;&gt;D856))"),"#N/A")</f>
        <v>#N/A</v>
      </c>
    </row>
    <row r="857">
      <c r="J857" s="6"/>
      <c r="K857" s="6"/>
      <c r="N857" s="4" t="str">
        <f>IFERROR(__xludf.DUMMYFUNCTION("TEXTJOIN("","", TRUE, FILTER($E$2:$E1000 &amp; $C$2:$C1000, $A$2:$A1000=A857, $B$2:$B1000=B857, $D$2:$D1000&lt;&gt;D857))"),"#N/A")</f>
        <v>#N/A</v>
      </c>
    </row>
    <row r="858">
      <c r="J858" s="6"/>
      <c r="K858" s="6"/>
      <c r="N858" s="4" t="str">
        <f>IFERROR(__xludf.DUMMYFUNCTION("TEXTJOIN("","", TRUE, FILTER($E$2:$E1000 &amp; $C$2:$C1000, $A$2:$A1000=A858, $B$2:$B1000=B858, $D$2:$D1000&lt;&gt;D858))"),"#N/A")</f>
        <v>#N/A</v>
      </c>
    </row>
    <row r="859">
      <c r="J859" s="6"/>
      <c r="K859" s="6"/>
      <c r="N859" s="4" t="str">
        <f>IFERROR(__xludf.DUMMYFUNCTION("TEXTJOIN("","", TRUE, FILTER($E$2:$E1000 &amp; $C$2:$C1000, $A$2:$A1000=A859, $B$2:$B1000=B859, $D$2:$D1000&lt;&gt;D859))"),"#N/A")</f>
        <v>#N/A</v>
      </c>
    </row>
    <row r="860">
      <c r="J860" s="6"/>
      <c r="K860" s="6"/>
      <c r="N860" s="4" t="str">
        <f>IFERROR(__xludf.DUMMYFUNCTION("TEXTJOIN("","", TRUE, FILTER($E$2:$E1000 &amp; $C$2:$C1000, $A$2:$A1000=A860, $B$2:$B1000=B860, $D$2:$D1000&lt;&gt;D860))"),"#N/A")</f>
        <v>#N/A</v>
      </c>
    </row>
    <row r="861">
      <c r="J861" s="6"/>
      <c r="K861" s="6"/>
      <c r="N861" s="4" t="str">
        <f>IFERROR(__xludf.DUMMYFUNCTION("TEXTJOIN("","", TRUE, FILTER($E$2:$E1000 &amp; $C$2:$C1000, $A$2:$A1000=A861, $B$2:$B1000=B861, $D$2:$D1000&lt;&gt;D861))"),"#N/A")</f>
        <v>#N/A</v>
      </c>
    </row>
    <row r="862">
      <c r="J862" s="6"/>
      <c r="K862" s="6"/>
      <c r="N862" s="4" t="str">
        <f>IFERROR(__xludf.DUMMYFUNCTION("TEXTJOIN("","", TRUE, FILTER($E$2:$E1000 &amp; $C$2:$C1000, $A$2:$A1000=A862, $B$2:$B1000=B862, $D$2:$D1000&lt;&gt;D862))"),"#N/A")</f>
        <v>#N/A</v>
      </c>
    </row>
    <row r="863">
      <c r="J863" s="6"/>
      <c r="K863" s="6"/>
      <c r="N863" s="4" t="str">
        <f>IFERROR(__xludf.DUMMYFUNCTION("TEXTJOIN("","", TRUE, FILTER($E$2:$E1000 &amp; $C$2:$C1000, $A$2:$A1000=A863, $B$2:$B1000=B863, $D$2:$D1000&lt;&gt;D863))"),"#N/A")</f>
        <v>#N/A</v>
      </c>
    </row>
    <row r="864">
      <c r="J864" s="6"/>
      <c r="K864" s="6"/>
      <c r="N864" s="4" t="str">
        <f>IFERROR(__xludf.DUMMYFUNCTION("TEXTJOIN("","", TRUE, FILTER($E$2:$E1000 &amp; $C$2:$C1000, $A$2:$A1000=A864, $B$2:$B1000=B864, $D$2:$D1000&lt;&gt;D864))"),"#N/A")</f>
        <v>#N/A</v>
      </c>
    </row>
    <row r="865">
      <c r="J865" s="6"/>
      <c r="K865" s="6"/>
      <c r="N865" s="4" t="str">
        <f>IFERROR(__xludf.DUMMYFUNCTION("TEXTJOIN("","", TRUE, FILTER($E$2:$E1000 &amp; $C$2:$C1000, $A$2:$A1000=A865, $B$2:$B1000=B865, $D$2:$D1000&lt;&gt;D865))"),"#N/A")</f>
        <v>#N/A</v>
      </c>
    </row>
    <row r="866">
      <c r="J866" s="6"/>
      <c r="K866" s="6"/>
      <c r="N866" s="4" t="str">
        <f>IFERROR(__xludf.DUMMYFUNCTION("TEXTJOIN("","", TRUE, FILTER($E$2:$E1000 &amp; $C$2:$C1000, $A$2:$A1000=A866, $B$2:$B1000=B866, $D$2:$D1000&lt;&gt;D866))"),"#N/A")</f>
        <v>#N/A</v>
      </c>
    </row>
    <row r="867">
      <c r="J867" s="6"/>
      <c r="K867" s="6"/>
      <c r="N867" s="4" t="str">
        <f>IFERROR(__xludf.DUMMYFUNCTION("TEXTJOIN("","", TRUE, FILTER($E$2:$E1000 &amp; $C$2:$C1000, $A$2:$A1000=A867, $B$2:$B1000=B867, $D$2:$D1000&lt;&gt;D867))"),"#N/A")</f>
        <v>#N/A</v>
      </c>
    </row>
    <row r="868">
      <c r="J868" s="6"/>
      <c r="K868" s="6"/>
      <c r="N868" s="4" t="str">
        <f>IFERROR(__xludf.DUMMYFUNCTION("TEXTJOIN("","", TRUE, FILTER($E$2:$E1000 &amp; $C$2:$C1000, $A$2:$A1000=A868, $B$2:$B1000=B868, $D$2:$D1000&lt;&gt;D868))"),"#N/A")</f>
        <v>#N/A</v>
      </c>
    </row>
    <row r="869">
      <c r="J869" s="6"/>
      <c r="K869" s="6"/>
      <c r="N869" s="4" t="str">
        <f>IFERROR(__xludf.DUMMYFUNCTION("TEXTJOIN("","", TRUE, FILTER($E$2:$E1000 &amp; $C$2:$C1000, $A$2:$A1000=A869, $B$2:$B1000=B869, $D$2:$D1000&lt;&gt;D869))"),"#N/A")</f>
        <v>#N/A</v>
      </c>
    </row>
    <row r="870">
      <c r="J870" s="6"/>
      <c r="K870" s="6"/>
      <c r="N870" s="4" t="str">
        <f>IFERROR(__xludf.DUMMYFUNCTION("TEXTJOIN("","", TRUE, FILTER($E$2:$E1000 &amp; $C$2:$C1000, $A$2:$A1000=A870, $B$2:$B1000=B870, $D$2:$D1000&lt;&gt;D870))"),"#N/A")</f>
        <v>#N/A</v>
      </c>
    </row>
    <row r="871">
      <c r="J871" s="6"/>
      <c r="K871" s="6"/>
      <c r="N871" s="4" t="str">
        <f>IFERROR(__xludf.DUMMYFUNCTION("TEXTJOIN("","", TRUE, FILTER($E$2:$E1000 &amp; $C$2:$C1000, $A$2:$A1000=A871, $B$2:$B1000=B871, $D$2:$D1000&lt;&gt;D871))"),"#N/A")</f>
        <v>#N/A</v>
      </c>
    </row>
    <row r="872">
      <c r="J872" s="6"/>
      <c r="K872" s="6"/>
      <c r="N872" s="4" t="str">
        <f>IFERROR(__xludf.DUMMYFUNCTION("TEXTJOIN("","", TRUE, FILTER($E$2:$E1000 &amp; $C$2:$C1000, $A$2:$A1000=A872, $B$2:$B1000=B872, $D$2:$D1000&lt;&gt;D872))"),"#N/A")</f>
        <v>#N/A</v>
      </c>
    </row>
    <row r="873">
      <c r="J873" s="6"/>
      <c r="K873" s="6"/>
      <c r="N873" s="4" t="str">
        <f>IFERROR(__xludf.DUMMYFUNCTION("TEXTJOIN("","", TRUE, FILTER($E$2:$E1000 &amp; $C$2:$C1000, $A$2:$A1000=A873, $B$2:$B1000=B873, $D$2:$D1000&lt;&gt;D873))"),"#N/A")</f>
        <v>#N/A</v>
      </c>
    </row>
    <row r="874">
      <c r="J874" s="6"/>
      <c r="K874" s="6"/>
      <c r="N874" s="4" t="str">
        <f>IFERROR(__xludf.DUMMYFUNCTION("TEXTJOIN("","", TRUE, FILTER($E$2:$E1000 &amp; $C$2:$C1000, $A$2:$A1000=A874, $B$2:$B1000=B874, $D$2:$D1000&lt;&gt;D874))"),"#N/A")</f>
        <v>#N/A</v>
      </c>
    </row>
    <row r="875">
      <c r="J875" s="6"/>
      <c r="K875" s="6"/>
      <c r="N875" s="4" t="str">
        <f>IFERROR(__xludf.DUMMYFUNCTION("TEXTJOIN("","", TRUE, FILTER($E$2:$E1000 &amp; $C$2:$C1000, $A$2:$A1000=A875, $B$2:$B1000=B875, $D$2:$D1000&lt;&gt;D875))"),"#N/A")</f>
        <v>#N/A</v>
      </c>
    </row>
    <row r="876">
      <c r="J876" s="6"/>
      <c r="K876" s="6"/>
      <c r="N876" s="4" t="str">
        <f>IFERROR(__xludf.DUMMYFUNCTION("TEXTJOIN("","", TRUE, FILTER($E$2:$E1000 &amp; $C$2:$C1000, $A$2:$A1000=A876, $B$2:$B1000=B876, $D$2:$D1000&lt;&gt;D876))"),"#N/A")</f>
        <v>#N/A</v>
      </c>
    </row>
    <row r="877">
      <c r="J877" s="6"/>
      <c r="K877" s="6"/>
      <c r="N877" s="4" t="str">
        <f>IFERROR(__xludf.DUMMYFUNCTION("TEXTJOIN("","", TRUE, FILTER($E$2:$E1000 &amp; $C$2:$C1000, $A$2:$A1000=A877, $B$2:$B1000=B877, $D$2:$D1000&lt;&gt;D877))"),"#N/A")</f>
        <v>#N/A</v>
      </c>
    </row>
    <row r="878">
      <c r="J878" s="6"/>
      <c r="K878" s="6"/>
      <c r="N878" s="4" t="str">
        <f>IFERROR(__xludf.DUMMYFUNCTION("TEXTJOIN("","", TRUE, FILTER($E$2:$E1000 &amp; $C$2:$C1000, $A$2:$A1000=A878, $B$2:$B1000=B878, $D$2:$D1000&lt;&gt;D878))"),"#N/A")</f>
        <v>#N/A</v>
      </c>
    </row>
    <row r="879">
      <c r="J879" s="6"/>
      <c r="K879" s="6"/>
      <c r="N879" s="4" t="str">
        <f>IFERROR(__xludf.DUMMYFUNCTION("TEXTJOIN("","", TRUE, FILTER($E$2:$E1000 &amp; $C$2:$C1000, $A$2:$A1000=A879, $B$2:$B1000=B879, $D$2:$D1000&lt;&gt;D879))"),"#N/A")</f>
        <v>#N/A</v>
      </c>
    </row>
    <row r="880">
      <c r="J880" s="6"/>
      <c r="K880" s="6"/>
      <c r="N880" s="4" t="str">
        <f>IFERROR(__xludf.DUMMYFUNCTION("TEXTJOIN("","", TRUE, FILTER($E$2:$E1000 &amp; $C$2:$C1000, $A$2:$A1000=A880, $B$2:$B1000=B880, $D$2:$D1000&lt;&gt;D880))"),"#N/A")</f>
        <v>#N/A</v>
      </c>
    </row>
    <row r="881">
      <c r="J881" s="6"/>
      <c r="K881" s="6"/>
      <c r="N881" s="4" t="str">
        <f>IFERROR(__xludf.DUMMYFUNCTION("TEXTJOIN("","", TRUE, FILTER($E$2:$E1000 &amp; $C$2:$C1000, $A$2:$A1000=A881, $B$2:$B1000=B881, $D$2:$D1000&lt;&gt;D881))"),"#N/A")</f>
        <v>#N/A</v>
      </c>
    </row>
    <row r="882">
      <c r="J882" s="6"/>
      <c r="K882" s="6"/>
      <c r="N882" s="4" t="str">
        <f>IFERROR(__xludf.DUMMYFUNCTION("TEXTJOIN("","", TRUE, FILTER($E$2:$E1000 &amp; $C$2:$C1000, $A$2:$A1000=A882, $B$2:$B1000=B882, $D$2:$D1000&lt;&gt;D882))"),"#N/A")</f>
        <v>#N/A</v>
      </c>
    </row>
    <row r="883">
      <c r="J883" s="6"/>
      <c r="K883" s="6"/>
      <c r="N883" s="4" t="str">
        <f>IFERROR(__xludf.DUMMYFUNCTION("TEXTJOIN("","", TRUE, FILTER($E$2:$E1000 &amp; $C$2:$C1000, $A$2:$A1000=A883, $B$2:$B1000=B883, $D$2:$D1000&lt;&gt;D883))"),"#N/A")</f>
        <v>#N/A</v>
      </c>
    </row>
    <row r="884">
      <c r="J884" s="6"/>
      <c r="K884" s="6"/>
      <c r="N884" s="4" t="str">
        <f>IFERROR(__xludf.DUMMYFUNCTION("TEXTJOIN("","", TRUE, FILTER($E$2:$E1000 &amp; $C$2:$C1000, $A$2:$A1000=A884, $B$2:$B1000=B884, $D$2:$D1000&lt;&gt;D884))"),"#N/A")</f>
        <v>#N/A</v>
      </c>
    </row>
    <row r="885">
      <c r="J885" s="6"/>
      <c r="K885" s="6"/>
      <c r="N885" s="4" t="str">
        <f>IFERROR(__xludf.DUMMYFUNCTION("TEXTJOIN("","", TRUE, FILTER($E$2:$E1000 &amp; $C$2:$C1000, $A$2:$A1000=A885, $B$2:$B1000=B885, $D$2:$D1000&lt;&gt;D885))"),"#N/A")</f>
        <v>#N/A</v>
      </c>
    </row>
    <row r="886">
      <c r="J886" s="6"/>
      <c r="K886" s="6"/>
      <c r="N886" s="4" t="str">
        <f>IFERROR(__xludf.DUMMYFUNCTION("TEXTJOIN("","", TRUE, FILTER($E$2:$E1000 &amp; $C$2:$C1000, $A$2:$A1000=A886, $B$2:$B1000=B886, $D$2:$D1000&lt;&gt;D886))"),"#N/A")</f>
        <v>#N/A</v>
      </c>
    </row>
    <row r="887">
      <c r="J887" s="6"/>
      <c r="K887" s="6"/>
      <c r="N887" s="4" t="str">
        <f>IFERROR(__xludf.DUMMYFUNCTION("TEXTJOIN("","", TRUE, FILTER($E$2:$E1000 &amp; $C$2:$C1000, $A$2:$A1000=A887, $B$2:$B1000=B887, $D$2:$D1000&lt;&gt;D887))"),"#N/A")</f>
        <v>#N/A</v>
      </c>
    </row>
    <row r="888">
      <c r="J888" s="6"/>
      <c r="K888" s="6"/>
      <c r="N888" s="4" t="str">
        <f>IFERROR(__xludf.DUMMYFUNCTION("TEXTJOIN("","", TRUE, FILTER($E$2:$E1000 &amp; $C$2:$C1000, $A$2:$A1000=A888, $B$2:$B1000=B888, $D$2:$D1000&lt;&gt;D888))"),"#N/A")</f>
        <v>#N/A</v>
      </c>
    </row>
    <row r="889">
      <c r="J889" s="6"/>
      <c r="K889" s="6"/>
      <c r="N889" s="4" t="str">
        <f>IFERROR(__xludf.DUMMYFUNCTION("TEXTJOIN("","", TRUE, FILTER($E$2:$E1000 &amp; $C$2:$C1000, $A$2:$A1000=A889, $B$2:$B1000=B889, $D$2:$D1000&lt;&gt;D889))"),"#N/A")</f>
        <v>#N/A</v>
      </c>
    </row>
    <row r="890">
      <c r="J890" s="6"/>
      <c r="K890" s="6"/>
      <c r="N890" s="4" t="str">
        <f>IFERROR(__xludf.DUMMYFUNCTION("TEXTJOIN("","", TRUE, FILTER($E$2:$E1000 &amp; $C$2:$C1000, $A$2:$A1000=A890, $B$2:$B1000=B890, $D$2:$D1000&lt;&gt;D890))"),"#N/A")</f>
        <v>#N/A</v>
      </c>
    </row>
    <row r="891">
      <c r="J891" s="6"/>
      <c r="K891" s="6"/>
      <c r="N891" s="4" t="str">
        <f>IFERROR(__xludf.DUMMYFUNCTION("TEXTJOIN("","", TRUE, FILTER($E$2:$E1000 &amp; $C$2:$C1000, $A$2:$A1000=A891, $B$2:$B1000=B891, $D$2:$D1000&lt;&gt;D891))"),"#N/A")</f>
        <v>#N/A</v>
      </c>
    </row>
    <row r="892">
      <c r="J892" s="6"/>
      <c r="K892" s="6"/>
      <c r="N892" s="4" t="str">
        <f>IFERROR(__xludf.DUMMYFUNCTION("TEXTJOIN("","", TRUE, FILTER($E$2:$E1000 &amp; $C$2:$C1000, $A$2:$A1000=A892, $B$2:$B1000=B892, $D$2:$D1000&lt;&gt;D892))"),"#N/A")</f>
        <v>#N/A</v>
      </c>
    </row>
    <row r="893">
      <c r="J893" s="6"/>
      <c r="K893" s="6"/>
      <c r="N893" s="4" t="str">
        <f>IFERROR(__xludf.DUMMYFUNCTION("TEXTJOIN("","", TRUE, FILTER($E$2:$E1000 &amp; $C$2:$C1000, $A$2:$A1000=A893, $B$2:$B1000=B893, $D$2:$D1000&lt;&gt;D893))"),"#N/A")</f>
        <v>#N/A</v>
      </c>
    </row>
    <row r="894">
      <c r="J894" s="6"/>
      <c r="K894" s="6"/>
      <c r="N894" s="4" t="str">
        <f>IFERROR(__xludf.DUMMYFUNCTION("TEXTJOIN("","", TRUE, FILTER($E$2:$E1000 &amp; $C$2:$C1000, $A$2:$A1000=A894, $B$2:$B1000=B894, $D$2:$D1000&lt;&gt;D894))"),"#N/A")</f>
        <v>#N/A</v>
      </c>
    </row>
    <row r="895">
      <c r="J895" s="6"/>
      <c r="K895" s="6"/>
      <c r="N895" s="4" t="str">
        <f>IFERROR(__xludf.DUMMYFUNCTION("TEXTJOIN("","", TRUE, FILTER($E$2:$E1000 &amp; $C$2:$C1000, $A$2:$A1000=A895, $B$2:$B1000=B895, $D$2:$D1000&lt;&gt;D895))"),"#N/A")</f>
        <v>#N/A</v>
      </c>
    </row>
    <row r="896">
      <c r="J896" s="6"/>
      <c r="K896" s="6"/>
      <c r="N896" s="4" t="str">
        <f>IFERROR(__xludf.DUMMYFUNCTION("TEXTJOIN("","", TRUE, FILTER($E$2:$E1000 &amp; $C$2:$C1000, $A$2:$A1000=A896, $B$2:$B1000=B896, $D$2:$D1000&lt;&gt;D896))"),"#N/A")</f>
        <v>#N/A</v>
      </c>
    </row>
    <row r="897">
      <c r="J897" s="6"/>
      <c r="K897" s="6"/>
      <c r="N897" s="4" t="str">
        <f>IFERROR(__xludf.DUMMYFUNCTION("TEXTJOIN("","", TRUE, FILTER($E$2:$E1000 &amp; $C$2:$C1000, $A$2:$A1000=A897, $B$2:$B1000=B897, $D$2:$D1000&lt;&gt;D897))"),"#N/A")</f>
        <v>#N/A</v>
      </c>
    </row>
    <row r="898">
      <c r="J898" s="6"/>
      <c r="K898" s="6"/>
      <c r="N898" s="4" t="str">
        <f>IFERROR(__xludf.DUMMYFUNCTION("TEXTJOIN("","", TRUE, FILTER($E$2:$E1000 &amp; $C$2:$C1000, $A$2:$A1000=A898, $B$2:$B1000=B898, $D$2:$D1000&lt;&gt;D898))"),"#N/A")</f>
        <v>#N/A</v>
      </c>
    </row>
    <row r="899">
      <c r="J899" s="6"/>
      <c r="K899" s="6"/>
      <c r="N899" s="4" t="str">
        <f>IFERROR(__xludf.DUMMYFUNCTION("TEXTJOIN("","", TRUE, FILTER($E$2:$E1000 &amp; $C$2:$C1000, $A$2:$A1000=A899, $B$2:$B1000=B899, $D$2:$D1000&lt;&gt;D899))"),"#N/A")</f>
        <v>#N/A</v>
      </c>
    </row>
    <row r="900">
      <c r="J900" s="6"/>
      <c r="K900" s="6"/>
      <c r="N900" s="4" t="str">
        <f>IFERROR(__xludf.DUMMYFUNCTION("TEXTJOIN("","", TRUE, FILTER($E$2:$E1000 &amp; $C$2:$C1000, $A$2:$A1000=A900, $B$2:$B1000=B900, $D$2:$D1000&lt;&gt;D900))"),"#N/A")</f>
        <v>#N/A</v>
      </c>
    </row>
    <row r="901">
      <c r="J901" s="6"/>
      <c r="K901" s="6"/>
      <c r="N901" s="4" t="str">
        <f>IFERROR(__xludf.DUMMYFUNCTION("TEXTJOIN("","", TRUE, FILTER($E$2:$E1000 &amp; $C$2:$C1000, $A$2:$A1000=A901, $B$2:$B1000=B901, $D$2:$D1000&lt;&gt;D901))"),"#N/A")</f>
        <v>#N/A</v>
      </c>
    </row>
    <row r="902">
      <c r="J902" s="6"/>
      <c r="K902" s="6"/>
      <c r="N902" s="4" t="str">
        <f>IFERROR(__xludf.DUMMYFUNCTION("TEXTJOIN("","", TRUE, FILTER($E$2:$E1000 &amp; $C$2:$C1000, $A$2:$A1000=A902, $B$2:$B1000=B902, $D$2:$D1000&lt;&gt;D902))"),"#N/A")</f>
        <v>#N/A</v>
      </c>
    </row>
    <row r="903">
      <c r="J903" s="6"/>
      <c r="K903" s="6"/>
      <c r="N903" s="4" t="str">
        <f>IFERROR(__xludf.DUMMYFUNCTION("TEXTJOIN("","", TRUE, FILTER($E$2:$E1000 &amp; $C$2:$C1000, $A$2:$A1000=A903, $B$2:$B1000=B903, $D$2:$D1000&lt;&gt;D903))"),"#N/A")</f>
        <v>#N/A</v>
      </c>
    </row>
    <row r="904">
      <c r="J904" s="6"/>
      <c r="K904" s="6"/>
      <c r="N904" s="4" t="str">
        <f>IFERROR(__xludf.DUMMYFUNCTION("TEXTJOIN("","", TRUE, FILTER($E$2:$E1000 &amp; $C$2:$C1000, $A$2:$A1000=A904, $B$2:$B1000=B904, $D$2:$D1000&lt;&gt;D904))"),"#N/A")</f>
        <v>#N/A</v>
      </c>
    </row>
    <row r="905">
      <c r="J905" s="6"/>
      <c r="K905" s="6"/>
      <c r="N905" s="4" t="str">
        <f>IFERROR(__xludf.DUMMYFUNCTION("TEXTJOIN("","", TRUE, FILTER($E$2:$E1000 &amp; $C$2:$C1000, $A$2:$A1000=A905, $B$2:$B1000=B905, $D$2:$D1000&lt;&gt;D905))"),"#N/A")</f>
        <v>#N/A</v>
      </c>
    </row>
    <row r="906">
      <c r="J906" s="6"/>
      <c r="K906" s="6"/>
      <c r="N906" s="4" t="str">
        <f>IFERROR(__xludf.DUMMYFUNCTION("TEXTJOIN("","", TRUE, FILTER($E$2:$E1000 &amp; $C$2:$C1000, $A$2:$A1000=A906, $B$2:$B1000=B906, $D$2:$D1000&lt;&gt;D906))"),"#N/A")</f>
        <v>#N/A</v>
      </c>
    </row>
    <row r="907">
      <c r="J907" s="6"/>
      <c r="K907" s="6"/>
      <c r="N907" s="4" t="str">
        <f>IFERROR(__xludf.DUMMYFUNCTION("TEXTJOIN("","", TRUE, FILTER($E$2:$E1000 &amp; $C$2:$C1000, $A$2:$A1000=A907, $B$2:$B1000=B907, $D$2:$D1000&lt;&gt;D907))"),"#N/A")</f>
        <v>#N/A</v>
      </c>
    </row>
    <row r="908">
      <c r="J908" s="6"/>
      <c r="K908" s="6"/>
      <c r="N908" s="4" t="str">
        <f>IFERROR(__xludf.DUMMYFUNCTION("TEXTJOIN("","", TRUE, FILTER($E$2:$E1000 &amp; $C$2:$C1000, $A$2:$A1000=A908, $B$2:$B1000=B908, $D$2:$D1000&lt;&gt;D908))"),"#N/A")</f>
        <v>#N/A</v>
      </c>
    </row>
    <row r="909">
      <c r="J909" s="6"/>
      <c r="K909" s="6"/>
      <c r="N909" s="4" t="str">
        <f>IFERROR(__xludf.DUMMYFUNCTION("TEXTJOIN("","", TRUE, FILTER($E$2:$E1000 &amp; $C$2:$C1000, $A$2:$A1000=A909, $B$2:$B1000=B909, $D$2:$D1000&lt;&gt;D909))"),"#N/A")</f>
        <v>#N/A</v>
      </c>
    </row>
    <row r="910">
      <c r="J910" s="6"/>
      <c r="K910" s="6"/>
      <c r="N910" s="4" t="str">
        <f>IFERROR(__xludf.DUMMYFUNCTION("TEXTJOIN("","", TRUE, FILTER($E$2:$E1000 &amp; $C$2:$C1000, $A$2:$A1000=A910, $B$2:$B1000=B910, $D$2:$D1000&lt;&gt;D910))"),"#N/A")</f>
        <v>#N/A</v>
      </c>
    </row>
    <row r="911">
      <c r="J911" s="6"/>
      <c r="K911" s="6"/>
      <c r="N911" s="4" t="str">
        <f>IFERROR(__xludf.DUMMYFUNCTION("TEXTJOIN("","", TRUE, FILTER($E$2:$E1000 &amp; $C$2:$C1000, $A$2:$A1000=A911, $B$2:$B1000=B911, $D$2:$D1000&lt;&gt;D911))"),"#N/A")</f>
        <v>#N/A</v>
      </c>
    </row>
    <row r="912">
      <c r="J912" s="6"/>
      <c r="K912" s="6"/>
      <c r="N912" s="4" t="str">
        <f>IFERROR(__xludf.DUMMYFUNCTION("TEXTJOIN("","", TRUE, FILTER($E$2:$E1000 &amp; $C$2:$C1000, $A$2:$A1000=A912, $B$2:$B1000=B912, $D$2:$D1000&lt;&gt;D912))"),"#N/A")</f>
        <v>#N/A</v>
      </c>
    </row>
    <row r="913">
      <c r="J913" s="6"/>
      <c r="K913" s="6"/>
      <c r="N913" s="4" t="str">
        <f>IFERROR(__xludf.DUMMYFUNCTION("TEXTJOIN("","", TRUE, FILTER($E$2:$E1000 &amp; $C$2:$C1000, $A$2:$A1000=A913, $B$2:$B1000=B913, $D$2:$D1000&lt;&gt;D913))"),"#N/A")</f>
        <v>#N/A</v>
      </c>
    </row>
    <row r="914">
      <c r="J914" s="6"/>
      <c r="K914" s="6"/>
      <c r="N914" s="4" t="str">
        <f>IFERROR(__xludf.DUMMYFUNCTION("TEXTJOIN("","", TRUE, FILTER($E$2:$E1000 &amp; $C$2:$C1000, $A$2:$A1000=A914, $B$2:$B1000=B914, $D$2:$D1000&lt;&gt;D914))"),"#N/A")</f>
        <v>#N/A</v>
      </c>
    </row>
    <row r="915">
      <c r="J915" s="6"/>
      <c r="K915" s="6"/>
      <c r="N915" s="4" t="str">
        <f>IFERROR(__xludf.DUMMYFUNCTION("TEXTJOIN("","", TRUE, FILTER($E$2:$E1000 &amp; $C$2:$C1000, $A$2:$A1000=A915, $B$2:$B1000=B915, $D$2:$D1000&lt;&gt;D915))"),"#N/A")</f>
        <v>#N/A</v>
      </c>
    </row>
    <row r="916">
      <c r="J916" s="6"/>
      <c r="K916" s="6"/>
      <c r="N916" s="4" t="str">
        <f>IFERROR(__xludf.DUMMYFUNCTION("TEXTJOIN("","", TRUE, FILTER($E$2:$E1000 &amp; $C$2:$C1000, $A$2:$A1000=A916, $B$2:$B1000=B916, $D$2:$D1000&lt;&gt;D916))"),"#N/A")</f>
        <v>#N/A</v>
      </c>
    </row>
    <row r="917">
      <c r="J917" s="6"/>
      <c r="K917" s="6"/>
      <c r="N917" s="4" t="str">
        <f>IFERROR(__xludf.DUMMYFUNCTION("TEXTJOIN("","", TRUE, FILTER($E$2:$E1000 &amp; $C$2:$C1000, $A$2:$A1000=A917, $B$2:$B1000=B917, $D$2:$D1000&lt;&gt;D917))"),"#N/A")</f>
        <v>#N/A</v>
      </c>
    </row>
    <row r="918">
      <c r="J918" s="6"/>
      <c r="K918" s="6"/>
      <c r="N918" s="4" t="str">
        <f>IFERROR(__xludf.DUMMYFUNCTION("TEXTJOIN("","", TRUE, FILTER($E$2:$E1000 &amp; $C$2:$C1000, $A$2:$A1000=A918, $B$2:$B1000=B918, $D$2:$D1000&lt;&gt;D918))"),"#N/A")</f>
        <v>#N/A</v>
      </c>
    </row>
    <row r="919">
      <c r="J919" s="6"/>
      <c r="K919" s="6"/>
      <c r="N919" s="4" t="str">
        <f>IFERROR(__xludf.DUMMYFUNCTION("TEXTJOIN("","", TRUE, FILTER($E$2:$E1000 &amp; $C$2:$C1000, $A$2:$A1000=A919, $B$2:$B1000=B919, $D$2:$D1000&lt;&gt;D919))"),"#N/A")</f>
        <v>#N/A</v>
      </c>
    </row>
    <row r="920">
      <c r="J920" s="6"/>
      <c r="K920" s="6"/>
      <c r="N920" s="4" t="str">
        <f>IFERROR(__xludf.DUMMYFUNCTION("TEXTJOIN("","", TRUE, FILTER($E$2:$E1000 &amp; $C$2:$C1000, $A$2:$A1000=A920, $B$2:$B1000=B920, $D$2:$D1000&lt;&gt;D920))"),"#N/A")</f>
        <v>#N/A</v>
      </c>
    </row>
    <row r="921">
      <c r="J921" s="6"/>
      <c r="K921" s="6"/>
      <c r="N921" s="4" t="str">
        <f>IFERROR(__xludf.DUMMYFUNCTION("TEXTJOIN("","", TRUE, FILTER($E$2:$E1000 &amp; $C$2:$C1000, $A$2:$A1000=A921, $B$2:$B1000=B921, $D$2:$D1000&lt;&gt;D921))"),"#N/A")</f>
        <v>#N/A</v>
      </c>
    </row>
    <row r="922">
      <c r="J922" s="6"/>
      <c r="K922" s="6"/>
      <c r="N922" s="4" t="str">
        <f>IFERROR(__xludf.DUMMYFUNCTION("TEXTJOIN("","", TRUE, FILTER($E$2:$E1000 &amp; $C$2:$C1000, $A$2:$A1000=A922, $B$2:$B1000=B922, $D$2:$D1000&lt;&gt;D922))"),"#N/A")</f>
        <v>#N/A</v>
      </c>
    </row>
    <row r="923">
      <c r="J923" s="6"/>
      <c r="K923" s="6"/>
      <c r="N923" s="4" t="str">
        <f>IFERROR(__xludf.DUMMYFUNCTION("TEXTJOIN("","", TRUE, FILTER($E$2:$E1000 &amp; $C$2:$C1000, $A$2:$A1000=A923, $B$2:$B1000=B923, $D$2:$D1000&lt;&gt;D923))"),"#N/A")</f>
        <v>#N/A</v>
      </c>
    </row>
    <row r="924">
      <c r="J924" s="6"/>
      <c r="K924" s="6"/>
      <c r="N924" s="4" t="str">
        <f>IFERROR(__xludf.DUMMYFUNCTION("TEXTJOIN("","", TRUE, FILTER($E$2:$E1000 &amp; $C$2:$C1000, $A$2:$A1000=A924, $B$2:$B1000=B924, $D$2:$D1000&lt;&gt;D924))"),"#N/A")</f>
        <v>#N/A</v>
      </c>
    </row>
    <row r="925">
      <c r="J925" s="6"/>
      <c r="K925" s="6"/>
      <c r="N925" s="4" t="str">
        <f>IFERROR(__xludf.DUMMYFUNCTION("TEXTJOIN("","", TRUE, FILTER($E$2:$E1000 &amp; $C$2:$C1000, $A$2:$A1000=A925, $B$2:$B1000=B925, $D$2:$D1000&lt;&gt;D925))"),"#N/A")</f>
        <v>#N/A</v>
      </c>
    </row>
    <row r="926">
      <c r="J926" s="6"/>
      <c r="K926" s="6"/>
      <c r="N926" s="4" t="str">
        <f>IFERROR(__xludf.DUMMYFUNCTION("TEXTJOIN("","", TRUE, FILTER($E$2:$E1000 &amp; $C$2:$C1000, $A$2:$A1000=A926, $B$2:$B1000=B926, $D$2:$D1000&lt;&gt;D926))"),"#N/A")</f>
        <v>#N/A</v>
      </c>
    </row>
    <row r="927">
      <c r="J927" s="6"/>
      <c r="K927" s="6"/>
      <c r="N927" s="4" t="str">
        <f>IFERROR(__xludf.DUMMYFUNCTION("TEXTJOIN("","", TRUE, FILTER($E$2:$E1000 &amp; $C$2:$C1000, $A$2:$A1000=A927, $B$2:$B1000=B927, $D$2:$D1000&lt;&gt;D927))"),"#N/A")</f>
        <v>#N/A</v>
      </c>
    </row>
    <row r="928">
      <c r="J928" s="6"/>
      <c r="K928" s="6"/>
      <c r="N928" s="4" t="str">
        <f>IFERROR(__xludf.DUMMYFUNCTION("TEXTJOIN("","", TRUE, FILTER($E$2:$E1000 &amp; $C$2:$C1000, $A$2:$A1000=A928, $B$2:$B1000=B928, $D$2:$D1000&lt;&gt;D928))"),"#N/A")</f>
        <v>#N/A</v>
      </c>
    </row>
    <row r="929">
      <c r="J929" s="6"/>
      <c r="K929" s="6"/>
      <c r="N929" s="4" t="str">
        <f>IFERROR(__xludf.DUMMYFUNCTION("TEXTJOIN("","", TRUE, FILTER($E$2:$E1000 &amp; $C$2:$C1000, $A$2:$A1000=A929, $B$2:$B1000=B929, $D$2:$D1000&lt;&gt;D929))"),"#N/A")</f>
        <v>#N/A</v>
      </c>
    </row>
    <row r="930">
      <c r="J930" s="6"/>
      <c r="K930" s="6"/>
      <c r="N930" s="4" t="str">
        <f>IFERROR(__xludf.DUMMYFUNCTION("TEXTJOIN("","", TRUE, FILTER($E$2:$E1000 &amp; $C$2:$C1000, $A$2:$A1000=A930, $B$2:$B1000=B930, $D$2:$D1000&lt;&gt;D930))"),"#N/A")</f>
        <v>#N/A</v>
      </c>
    </row>
    <row r="931">
      <c r="J931" s="6"/>
      <c r="K931" s="6"/>
      <c r="N931" s="4" t="str">
        <f>IFERROR(__xludf.DUMMYFUNCTION("TEXTJOIN("","", TRUE, FILTER($E$2:$E1000 &amp; $C$2:$C1000, $A$2:$A1000=A931, $B$2:$B1000=B931, $D$2:$D1000&lt;&gt;D931))"),"#N/A")</f>
        <v>#N/A</v>
      </c>
    </row>
    <row r="932">
      <c r="J932" s="6"/>
      <c r="K932" s="6"/>
      <c r="N932" s="4" t="str">
        <f>IFERROR(__xludf.DUMMYFUNCTION("TEXTJOIN("","", TRUE, FILTER($E$2:$E1000 &amp; $C$2:$C1000, $A$2:$A1000=A932, $B$2:$B1000=B932, $D$2:$D1000&lt;&gt;D932))"),"#N/A")</f>
        <v>#N/A</v>
      </c>
    </row>
    <row r="933">
      <c r="J933" s="6"/>
      <c r="K933" s="6"/>
      <c r="N933" s="4" t="str">
        <f>IFERROR(__xludf.DUMMYFUNCTION("TEXTJOIN("","", TRUE, FILTER($E$2:$E1000 &amp; $C$2:$C1000, $A$2:$A1000=A933, $B$2:$B1000=B933, $D$2:$D1000&lt;&gt;D933))"),"#N/A")</f>
        <v>#N/A</v>
      </c>
    </row>
    <row r="934">
      <c r="J934" s="6"/>
      <c r="K934" s="6"/>
      <c r="N934" s="4" t="str">
        <f>IFERROR(__xludf.DUMMYFUNCTION("TEXTJOIN("","", TRUE, FILTER($E$2:$E1000 &amp; $C$2:$C1000, $A$2:$A1000=A934, $B$2:$B1000=B934, $D$2:$D1000&lt;&gt;D934))"),"#N/A")</f>
        <v>#N/A</v>
      </c>
    </row>
    <row r="935">
      <c r="J935" s="6"/>
      <c r="K935" s="6"/>
      <c r="N935" s="4" t="str">
        <f>IFERROR(__xludf.DUMMYFUNCTION("TEXTJOIN("","", TRUE, FILTER($E$2:$E1000 &amp; $C$2:$C1000, $A$2:$A1000=A935, $B$2:$B1000=B935, $D$2:$D1000&lt;&gt;D935))"),"#N/A")</f>
        <v>#N/A</v>
      </c>
    </row>
    <row r="936">
      <c r="J936" s="6"/>
      <c r="K936" s="6"/>
      <c r="N936" s="4" t="str">
        <f>IFERROR(__xludf.DUMMYFUNCTION("TEXTJOIN("","", TRUE, FILTER($E$2:$E1000 &amp; $C$2:$C1000, $A$2:$A1000=A936, $B$2:$B1000=B936, $D$2:$D1000&lt;&gt;D936))"),"#N/A")</f>
        <v>#N/A</v>
      </c>
    </row>
    <row r="937">
      <c r="J937" s="6"/>
      <c r="K937" s="6"/>
      <c r="N937" s="4" t="str">
        <f>IFERROR(__xludf.DUMMYFUNCTION("TEXTJOIN("","", TRUE, FILTER($E$2:$E1000 &amp; $C$2:$C1000, $A$2:$A1000=A937, $B$2:$B1000=B937, $D$2:$D1000&lt;&gt;D937))"),"#N/A")</f>
        <v>#N/A</v>
      </c>
    </row>
    <row r="938">
      <c r="J938" s="6"/>
      <c r="K938" s="6"/>
      <c r="N938" s="4" t="str">
        <f>IFERROR(__xludf.DUMMYFUNCTION("TEXTJOIN("","", TRUE, FILTER($E$2:$E1000 &amp; $C$2:$C1000, $A$2:$A1000=A938, $B$2:$B1000=B938, $D$2:$D1000&lt;&gt;D938))"),"#N/A")</f>
        <v>#N/A</v>
      </c>
    </row>
    <row r="939">
      <c r="J939" s="6"/>
      <c r="K939" s="6"/>
      <c r="N939" s="4" t="str">
        <f>IFERROR(__xludf.DUMMYFUNCTION("TEXTJOIN("","", TRUE, FILTER($E$2:$E1000 &amp; $C$2:$C1000, $A$2:$A1000=A939, $B$2:$B1000=B939, $D$2:$D1000&lt;&gt;D939))"),"#N/A")</f>
        <v>#N/A</v>
      </c>
    </row>
    <row r="940">
      <c r="J940" s="6"/>
      <c r="K940" s="6"/>
      <c r="N940" s="4" t="str">
        <f>IFERROR(__xludf.DUMMYFUNCTION("TEXTJOIN("","", TRUE, FILTER($E$2:$E1000 &amp; $C$2:$C1000, $A$2:$A1000=A940, $B$2:$B1000=B940, $D$2:$D1000&lt;&gt;D940))"),"#N/A")</f>
        <v>#N/A</v>
      </c>
    </row>
    <row r="941">
      <c r="J941" s="6"/>
      <c r="K941" s="6"/>
      <c r="N941" s="4" t="str">
        <f>IFERROR(__xludf.DUMMYFUNCTION("TEXTJOIN("","", TRUE, FILTER($E$2:$E1000 &amp; $C$2:$C1000, $A$2:$A1000=A941, $B$2:$B1000=B941, $D$2:$D1000&lt;&gt;D941))"),"#N/A")</f>
        <v>#N/A</v>
      </c>
    </row>
    <row r="942">
      <c r="J942" s="6"/>
      <c r="K942" s="6"/>
      <c r="N942" s="4" t="str">
        <f>IFERROR(__xludf.DUMMYFUNCTION("TEXTJOIN("","", TRUE, FILTER($E$2:$E1000 &amp; $C$2:$C1000, $A$2:$A1000=A942, $B$2:$B1000=B942, $D$2:$D1000&lt;&gt;D942))"),"#N/A")</f>
        <v>#N/A</v>
      </c>
    </row>
    <row r="943">
      <c r="J943" s="6"/>
      <c r="K943" s="6"/>
      <c r="N943" s="4" t="str">
        <f>IFERROR(__xludf.DUMMYFUNCTION("TEXTJOIN("","", TRUE, FILTER($E$2:$E1000 &amp; $C$2:$C1000, $A$2:$A1000=A943, $B$2:$B1000=B943, $D$2:$D1000&lt;&gt;D943))"),"#N/A")</f>
        <v>#N/A</v>
      </c>
    </row>
    <row r="944">
      <c r="J944" s="6"/>
      <c r="K944" s="6"/>
      <c r="N944" s="4" t="str">
        <f>IFERROR(__xludf.DUMMYFUNCTION("TEXTJOIN("","", TRUE, FILTER($E$2:$E1000 &amp; $C$2:$C1000, $A$2:$A1000=A944, $B$2:$B1000=B944, $D$2:$D1000&lt;&gt;D944))"),"#N/A")</f>
        <v>#N/A</v>
      </c>
    </row>
    <row r="945">
      <c r="J945" s="6"/>
      <c r="K945" s="6"/>
      <c r="N945" s="4" t="str">
        <f>IFERROR(__xludf.DUMMYFUNCTION("TEXTJOIN("","", TRUE, FILTER($E$2:$E1000 &amp; $C$2:$C1000, $A$2:$A1000=A945, $B$2:$B1000=B945, $D$2:$D1000&lt;&gt;D945))"),"#N/A")</f>
        <v>#N/A</v>
      </c>
    </row>
    <row r="946">
      <c r="J946" s="6"/>
      <c r="K946" s="6"/>
      <c r="N946" s="4" t="str">
        <f>IFERROR(__xludf.DUMMYFUNCTION("TEXTJOIN("","", TRUE, FILTER($E$2:$E1000 &amp; $C$2:$C1000, $A$2:$A1000=A946, $B$2:$B1000=B946, $D$2:$D1000&lt;&gt;D946))"),"#N/A")</f>
        <v>#N/A</v>
      </c>
    </row>
    <row r="947">
      <c r="J947" s="6"/>
      <c r="K947" s="6"/>
      <c r="N947" s="4" t="str">
        <f>IFERROR(__xludf.DUMMYFUNCTION("TEXTJOIN("","", TRUE, FILTER($E$2:$E1000 &amp; $C$2:$C1000, $A$2:$A1000=A947, $B$2:$B1000=B947, $D$2:$D1000&lt;&gt;D947))"),"#N/A")</f>
        <v>#N/A</v>
      </c>
    </row>
    <row r="948">
      <c r="J948" s="6"/>
      <c r="K948" s="6"/>
      <c r="N948" s="4" t="str">
        <f>IFERROR(__xludf.DUMMYFUNCTION("TEXTJOIN("","", TRUE, FILTER($E$2:$E1000 &amp; $C$2:$C1000, $A$2:$A1000=A948, $B$2:$B1000=B948, $D$2:$D1000&lt;&gt;D948))"),"#N/A")</f>
        <v>#N/A</v>
      </c>
    </row>
    <row r="949">
      <c r="J949" s="6"/>
      <c r="K949" s="6"/>
      <c r="N949" s="4" t="str">
        <f>IFERROR(__xludf.DUMMYFUNCTION("TEXTJOIN("","", TRUE, FILTER($E$2:$E1000 &amp; $C$2:$C1000, $A$2:$A1000=A949, $B$2:$B1000=B949, $D$2:$D1000&lt;&gt;D949))"),"#N/A")</f>
        <v>#N/A</v>
      </c>
    </row>
    <row r="950">
      <c r="J950" s="6"/>
      <c r="K950" s="6"/>
      <c r="N950" s="4" t="str">
        <f>IFERROR(__xludf.DUMMYFUNCTION("TEXTJOIN("","", TRUE, FILTER($E$2:$E1000 &amp; $C$2:$C1000, $A$2:$A1000=A950, $B$2:$B1000=B950, $D$2:$D1000&lt;&gt;D950))"),"#N/A")</f>
        <v>#N/A</v>
      </c>
    </row>
    <row r="951">
      <c r="J951" s="6"/>
      <c r="K951" s="6"/>
      <c r="N951" s="4" t="str">
        <f>IFERROR(__xludf.DUMMYFUNCTION("TEXTJOIN("","", TRUE, FILTER($E$2:$E1000 &amp; $C$2:$C1000, $A$2:$A1000=A951, $B$2:$B1000=B951, $D$2:$D1000&lt;&gt;D951))"),"#N/A")</f>
        <v>#N/A</v>
      </c>
    </row>
    <row r="952">
      <c r="J952" s="6"/>
      <c r="K952" s="6"/>
      <c r="N952" s="4" t="str">
        <f>IFERROR(__xludf.DUMMYFUNCTION("TEXTJOIN("","", TRUE, FILTER($E$2:$E1000 &amp; $C$2:$C1000, $A$2:$A1000=A952, $B$2:$B1000=B952, $D$2:$D1000&lt;&gt;D952))"),"#N/A")</f>
        <v>#N/A</v>
      </c>
    </row>
    <row r="953">
      <c r="J953" s="6"/>
      <c r="K953" s="6"/>
      <c r="N953" s="4" t="str">
        <f>IFERROR(__xludf.DUMMYFUNCTION("TEXTJOIN("","", TRUE, FILTER($E$2:$E1000 &amp; $C$2:$C1000, $A$2:$A1000=A953, $B$2:$B1000=B953, $D$2:$D1000&lt;&gt;D953))"),"#N/A")</f>
        <v>#N/A</v>
      </c>
    </row>
    <row r="954">
      <c r="J954" s="6"/>
      <c r="K954" s="6"/>
      <c r="N954" s="4" t="str">
        <f>IFERROR(__xludf.DUMMYFUNCTION("TEXTJOIN("","", TRUE, FILTER($E$2:$E1000 &amp; $C$2:$C1000, $A$2:$A1000=A954, $B$2:$B1000=B954, $D$2:$D1000&lt;&gt;D954))"),"#N/A")</f>
        <v>#N/A</v>
      </c>
    </row>
    <row r="955">
      <c r="J955" s="6"/>
      <c r="K955" s="6"/>
      <c r="N955" s="4" t="str">
        <f>IFERROR(__xludf.DUMMYFUNCTION("TEXTJOIN("","", TRUE, FILTER($E$2:$E1000 &amp; $C$2:$C1000, $A$2:$A1000=A955, $B$2:$B1000=B955, $D$2:$D1000&lt;&gt;D955))"),"#N/A")</f>
        <v>#N/A</v>
      </c>
    </row>
    <row r="956">
      <c r="J956" s="6"/>
      <c r="K956" s="6"/>
      <c r="N956" s="4" t="str">
        <f>IFERROR(__xludf.DUMMYFUNCTION("TEXTJOIN("","", TRUE, FILTER($E$2:$E1000 &amp; $C$2:$C1000, $A$2:$A1000=A956, $B$2:$B1000=B956, $D$2:$D1000&lt;&gt;D956))"),"#N/A")</f>
        <v>#N/A</v>
      </c>
    </row>
    <row r="957">
      <c r="J957" s="6"/>
      <c r="K957" s="6"/>
      <c r="N957" s="4" t="str">
        <f>IFERROR(__xludf.DUMMYFUNCTION("TEXTJOIN("","", TRUE, FILTER($E$2:$E1000 &amp; $C$2:$C1000, $A$2:$A1000=A957, $B$2:$B1000=B957, $D$2:$D1000&lt;&gt;D957))"),"#N/A")</f>
        <v>#N/A</v>
      </c>
    </row>
    <row r="958">
      <c r="J958" s="6"/>
      <c r="K958" s="6"/>
      <c r="N958" s="4" t="str">
        <f>IFERROR(__xludf.DUMMYFUNCTION("TEXTJOIN("","", TRUE, FILTER($E$2:$E1000 &amp; $C$2:$C1000, $A$2:$A1000=A958, $B$2:$B1000=B958, $D$2:$D1000&lt;&gt;D958))"),"#N/A")</f>
        <v>#N/A</v>
      </c>
    </row>
    <row r="959">
      <c r="J959" s="6"/>
      <c r="K959" s="6"/>
      <c r="N959" s="4" t="str">
        <f>IFERROR(__xludf.DUMMYFUNCTION("TEXTJOIN("","", TRUE, FILTER($E$2:$E1000 &amp; $C$2:$C1000, $A$2:$A1000=A959, $B$2:$B1000=B959, $D$2:$D1000&lt;&gt;D959))"),"#N/A")</f>
        <v>#N/A</v>
      </c>
    </row>
    <row r="960">
      <c r="J960" s="6"/>
      <c r="K960" s="6"/>
      <c r="N960" s="4" t="str">
        <f>IFERROR(__xludf.DUMMYFUNCTION("TEXTJOIN("","", TRUE, FILTER($E$2:$E1000 &amp; $C$2:$C1000, $A$2:$A1000=A960, $B$2:$B1000=B960, $D$2:$D1000&lt;&gt;D960))"),"#N/A")</f>
        <v>#N/A</v>
      </c>
    </row>
    <row r="961">
      <c r="J961" s="6"/>
      <c r="K961" s="6"/>
      <c r="N961" s="4" t="str">
        <f>IFERROR(__xludf.DUMMYFUNCTION("TEXTJOIN("","", TRUE, FILTER($E$2:$E1000 &amp; $C$2:$C1000, $A$2:$A1000=A961, $B$2:$B1000=B961, $D$2:$D1000&lt;&gt;D961))"),"#N/A")</f>
        <v>#N/A</v>
      </c>
    </row>
    <row r="962">
      <c r="J962" s="6"/>
      <c r="K962" s="6"/>
      <c r="N962" s="4" t="str">
        <f>IFERROR(__xludf.DUMMYFUNCTION("TEXTJOIN("","", TRUE, FILTER($E$2:$E1000 &amp; $C$2:$C1000, $A$2:$A1000=A962, $B$2:$B1000=B962, $D$2:$D1000&lt;&gt;D962))"),"#N/A")</f>
        <v>#N/A</v>
      </c>
    </row>
    <row r="963">
      <c r="J963" s="6"/>
      <c r="K963" s="6"/>
      <c r="N963" s="4" t="str">
        <f>IFERROR(__xludf.DUMMYFUNCTION("TEXTJOIN("","", TRUE, FILTER($E$2:$E1000 &amp; $C$2:$C1000, $A$2:$A1000=A963, $B$2:$B1000=B963, $D$2:$D1000&lt;&gt;D963))"),"#N/A")</f>
        <v>#N/A</v>
      </c>
    </row>
    <row r="964">
      <c r="J964" s="6"/>
      <c r="K964" s="6"/>
      <c r="N964" s="4" t="str">
        <f>IFERROR(__xludf.DUMMYFUNCTION("TEXTJOIN("","", TRUE, FILTER($E$2:$E1000 &amp; $C$2:$C1000, $A$2:$A1000=A964, $B$2:$B1000=B964, $D$2:$D1000&lt;&gt;D964))"),"#N/A")</f>
        <v>#N/A</v>
      </c>
    </row>
    <row r="965">
      <c r="J965" s="6"/>
      <c r="K965" s="6"/>
      <c r="N965" s="4" t="str">
        <f>IFERROR(__xludf.DUMMYFUNCTION("TEXTJOIN("","", TRUE, FILTER($E$2:$E1000 &amp; $C$2:$C1000, $A$2:$A1000=A965, $B$2:$B1000=B965, $D$2:$D1000&lt;&gt;D965))"),"#N/A")</f>
        <v>#N/A</v>
      </c>
    </row>
    <row r="966">
      <c r="J966" s="6"/>
      <c r="K966" s="6"/>
      <c r="N966" s="4" t="str">
        <f>IFERROR(__xludf.DUMMYFUNCTION("TEXTJOIN("","", TRUE, FILTER($E$2:$E1000 &amp; $C$2:$C1000, $A$2:$A1000=A966, $B$2:$B1000=B966, $D$2:$D1000&lt;&gt;D966))"),"#N/A")</f>
        <v>#N/A</v>
      </c>
    </row>
    <row r="967">
      <c r="J967" s="6"/>
      <c r="K967" s="6"/>
      <c r="N967" s="4" t="str">
        <f>IFERROR(__xludf.DUMMYFUNCTION("TEXTJOIN("","", TRUE, FILTER($E$2:$E1000 &amp; $C$2:$C1000, $A$2:$A1000=A967, $B$2:$B1000=B967, $D$2:$D1000&lt;&gt;D967))"),"#N/A")</f>
        <v>#N/A</v>
      </c>
    </row>
    <row r="968">
      <c r="J968" s="6"/>
      <c r="K968" s="6"/>
      <c r="N968" s="4" t="str">
        <f>IFERROR(__xludf.DUMMYFUNCTION("TEXTJOIN("","", TRUE, FILTER($E$2:$E1000 &amp; $C$2:$C1000, $A$2:$A1000=A968, $B$2:$B1000=B968, $D$2:$D1000&lt;&gt;D968))"),"#N/A")</f>
        <v>#N/A</v>
      </c>
    </row>
    <row r="969">
      <c r="J969" s="6"/>
      <c r="K969" s="6"/>
      <c r="N969" s="4" t="str">
        <f>IFERROR(__xludf.DUMMYFUNCTION("TEXTJOIN("","", TRUE, FILTER($E$2:$E1000 &amp; $C$2:$C1000, $A$2:$A1000=A969, $B$2:$B1000=B969, $D$2:$D1000&lt;&gt;D969))"),"#N/A")</f>
        <v>#N/A</v>
      </c>
    </row>
    <row r="970">
      <c r="J970" s="6"/>
      <c r="K970" s="6"/>
      <c r="N970" s="4" t="str">
        <f>IFERROR(__xludf.DUMMYFUNCTION("TEXTJOIN("","", TRUE, FILTER($E$2:$E1000 &amp; $C$2:$C1000, $A$2:$A1000=A970, $B$2:$B1000=B970, $D$2:$D1000&lt;&gt;D970))"),"#N/A")</f>
        <v>#N/A</v>
      </c>
    </row>
    <row r="971">
      <c r="J971" s="6"/>
      <c r="K971" s="6"/>
      <c r="N971" s="4" t="str">
        <f>IFERROR(__xludf.DUMMYFUNCTION("TEXTJOIN("","", TRUE, FILTER($E$2:$E1000 &amp; $C$2:$C1000, $A$2:$A1000=A971, $B$2:$B1000=B971, $D$2:$D1000&lt;&gt;D971))"),"#N/A")</f>
        <v>#N/A</v>
      </c>
    </row>
    <row r="972">
      <c r="J972" s="6"/>
      <c r="K972" s="6"/>
      <c r="N972" s="4" t="str">
        <f>IFERROR(__xludf.DUMMYFUNCTION("TEXTJOIN("","", TRUE, FILTER($E$2:$E1000 &amp; $C$2:$C1000, $A$2:$A1000=A972, $B$2:$B1000=B972, $D$2:$D1000&lt;&gt;D972))"),"#N/A")</f>
        <v>#N/A</v>
      </c>
    </row>
    <row r="973">
      <c r="J973" s="6"/>
      <c r="K973" s="6"/>
      <c r="N973" s="4" t="str">
        <f>IFERROR(__xludf.DUMMYFUNCTION("TEXTJOIN("","", TRUE, FILTER($E$2:$E1000 &amp; $C$2:$C1000, $A$2:$A1000=A973, $B$2:$B1000=B973, $D$2:$D1000&lt;&gt;D973))"),"#N/A")</f>
        <v>#N/A</v>
      </c>
    </row>
    <row r="974">
      <c r="J974" s="6"/>
      <c r="K974" s="6"/>
      <c r="N974" s="4" t="str">
        <f>IFERROR(__xludf.DUMMYFUNCTION("TEXTJOIN("","", TRUE, FILTER($E$2:$E1000 &amp; $C$2:$C1000, $A$2:$A1000=A974, $B$2:$B1000=B974, $D$2:$D1000&lt;&gt;D974))"),"#N/A")</f>
        <v>#N/A</v>
      </c>
    </row>
    <row r="975">
      <c r="J975" s="6"/>
      <c r="K975" s="6"/>
      <c r="N975" s="4" t="str">
        <f>IFERROR(__xludf.DUMMYFUNCTION("TEXTJOIN("","", TRUE, FILTER($E$2:$E1000 &amp; $C$2:$C1000, $A$2:$A1000=A975, $B$2:$B1000=B975, $D$2:$D1000&lt;&gt;D975))"),"#N/A")</f>
        <v>#N/A</v>
      </c>
    </row>
    <row r="976">
      <c r="J976" s="6"/>
      <c r="K976" s="6"/>
      <c r="N976" s="4" t="str">
        <f>IFERROR(__xludf.DUMMYFUNCTION("TEXTJOIN("","", TRUE, FILTER($E$2:$E1000 &amp; $C$2:$C1000, $A$2:$A1000=A976, $B$2:$B1000=B976, $D$2:$D1000&lt;&gt;D976))"),"#N/A")</f>
        <v>#N/A</v>
      </c>
    </row>
    <row r="977">
      <c r="J977" s="6"/>
      <c r="K977" s="6"/>
      <c r="N977" s="4" t="str">
        <f>IFERROR(__xludf.DUMMYFUNCTION("TEXTJOIN("","", TRUE, FILTER($E$2:$E1000 &amp; $C$2:$C1000, $A$2:$A1000=A977, $B$2:$B1000=B977, $D$2:$D1000&lt;&gt;D977))"),"#N/A")</f>
        <v>#N/A</v>
      </c>
    </row>
    <row r="978">
      <c r="J978" s="6"/>
      <c r="K978" s="6"/>
      <c r="N978" s="4" t="str">
        <f>IFERROR(__xludf.DUMMYFUNCTION("TEXTJOIN("","", TRUE, FILTER($E$2:$E1000 &amp; $C$2:$C1000, $A$2:$A1000=A978, $B$2:$B1000=B978, $D$2:$D1000&lt;&gt;D978))"),"#N/A")</f>
        <v>#N/A</v>
      </c>
    </row>
    <row r="979">
      <c r="J979" s="6"/>
      <c r="K979" s="6"/>
      <c r="N979" s="4" t="str">
        <f>IFERROR(__xludf.DUMMYFUNCTION("TEXTJOIN("","", TRUE, FILTER($E$2:$E1000 &amp; $C$2:$C1000, $A$2:$A1000=A979, $B$2:$B1000=B979, $D$2:$D1000&lt;&gt;D979))"),"#N/A")</f>
        <v>#N/A</v>
      </c>
    </row>
    <row r="980">
      <c r="J980" s="6"/>
      <c r="K980" s="6"/>
      <c r="N980" s="4" t="str">
        <f>IFERROR(__xludf.DUMMYFUNCTION("TEXTJOIN("","", TRUE, FILTER($E$2:$E1000 &amp; $C$2:$C1000, $A$2:$A1000=A980, $B$2:$B1000=B980, $D$2:$D1000&lt;&gt;D980))"),"#N/A")</f>
        <v>#N/A</v>
      </c>
    </row>
    <row r="981">
      <c r="J981" s="6"/>
      <c r="K981" s="6"/>
      <c r="N981" s="4" t="str">
        <f>IFERROR(__xludf.DUMMYFUNCTION("TEXTJOIN("","", TRUE, FILTER($E$2:$E1000 &amp; $C$2:$C1000, $A$2:$A1000=A981, $B$2:$B1000=B981, $D$2:$D1000&lt;&gt;D981))"),"#N/A")</f>
        <v>#N/A</v>
      </c>
    </row>
    <row r="982">
      <c r="J982" s="6"/>
      <c r="K982" s="6"/>
      <c r="N982" s="4" t="str">
        <f>IFERROR(__xludf.DUMMYFUNCTION("TEXTJOIN("","", TRUE, FILTER($E$2:$E1000 &amp; $C$2:$C1000, $A$2:$A1000=A982, $B$2:$B1000=B982, $D$2:$D1000&lt;&gt;D982))"),"#N/A")</f>
        <v>#N/A</v>
      </c>
    </row>
    <row r="983">
      <c r="J983" s="6"/>
      <c r="K983" s="6"/>
      <c r="N983" s="4" t="str">
        <f>IFERROR(__xludf.DUMMYFUNCTION("TEXTJOIN("","", TRUE, FILTER($E$2:$E1000 &amp; $C$2:$C1000, $A$2:$A1000=A983, $B$2:$B1000=B983, $D$2:$D1000&lt;&gt;D983))"),"#N/A")</f>
        <v>#N/A</v>
      </c>
    </row>
    <row r="984">
      <c r="J984" s="6"/>
      <c r="K984" s="6"/>
      <c r="N984" s="4" t="str">
        <f>IFERROR(__xludf.DUMMYFUNCTION("TEXTJOIN("","", TRUE, FILTER($E$2:$E1000 &amp; $C$2:$C1000, $A$2:$A1000=A984, $B$2:$B1000=B984, $D$2:$D1000&lt;&gt;D984))"),"#N/A")</f>
        <v>#N/A</v>
      </c>
    </row>
    <row r="985">
      <c r="J985" s="6"/>
      <c r="K985" s="6"/>
      <c r="N985" s="4" t="str">
        <f>IFERROR(__xludf.DUMMYFUNCTION("TEXTJOIN("","", TRUE, FILTER($E$2:$E1000 &amp; $C$2:$C1000, $A$2:$A1000=A985, $B$2:$B1000=B985, $D$2:$D1000&lt;&gt;D985))"),"#N/A")</f>
        <v>#N/A</v>
      </c>
    </row>
    <row r="986">
      <c r="J986" s="6"/>
      <c r="K986" s="6"/>
      <c r="N986" s="4" t="str">
        <f>IFERROR(__xludf.DUMMYFUNCTION("TEXTJOIN("","", TRUE, FILTER($E$2:$E1000 &amp; $C$2:$C1000, $A$2:$A1000=A986, $B$2:$B1000=B986, $D$2:$D1000&lt;&gt;D986))"),"#N/A")</f>
        <v>#N/A</v>
      </c>
    </row>
    <row r="987">
      <c r="J987" s="6"/>
      <c r="K987" s="6"/>
      <c r="N987" s="4" t="str">
        <f>IFERROR(__xludf.DUMMYFUNCTION("TEXTJOIN("","", TRUE, FILTER($E$2:$E1000 &amp; $C$2:$C1000, $A$2:$A1000=A987, $B$2:$B1000=B987, $D$2:$D1000&lt;&gt;D987))"),"#N/A")</f>
        <v>#N/A</v>
      </c>
    </row>
    <row r="988">
      <c r="J988" s="6"/>
      <c r="K988" s="6"/>
      <c r="N988" s="4" t="str">
        <f>IFERROR(__xludf.DUMMYFUNCTION("TEXTJOIN("","", TRUE, FILTER($E$2:$E1000 &amp; $C$2:$C1000, $A$2:$A1000=A988, $B$2:$B1000=B988, $D$2:$D1000&lt;&gt;D988))"),"#N/A")</f>
        <v>#N/A</v>
      </c>
    </row>
    <row r="989">
      <c r="J989" s="6"/>
      <c r="K989" s="6"/>
      <c r="N989" s="4" t="str">
        <f>IFERROR(__xludf.DUMMYFUNCTION("TEXTJOIN("","", TRUE, FILTER($E$2:$E1000 &amp; $C$2:$C1000, $A$2:$A1000=A989, $B$2:$B1000=B989, $D$2:$D1000&lt;&gt;D989))"),"#N/A")</f>
        <v>#N/A</v>
      </c>
    </row>
    <row r="990">
      <c r="J990" s="6"/>
      <c r="K990" s="6"/>
      <c r="N990" s="4" t="str">
        <f>IFERROR(__xludf.DUMMYFUNCTION("TEXTJOIN("","", TRUE, FILTER($E$2:$E1000 &amp; $C$2:$C1000, $A$2:$A1000=A990, $B$2:$B1000=B990, $D$2:$D1000&lt;&gt;D990))"),"#N/A")</f>
        <v>#N/A</v>
      </c>
    </row>
    <row r="991">
      <c r="J991" s="6"/>
      <c r="K991" s="6"/>
      <c r="N991" s="4" t="str">
        <f>IFERROR(__xludf.DUMMYFUNCTION("TEXTJOIN("","", TRUE, FILTER($E$2:$E1000 &amp; $C$2:$C1000, $A$2:$A1000=A991, $B$2:$B1000=B991, $D$2:$D1000&lt;&gt;D991))"),"#N/A")</f>
        <v>#N/A</v>
      </c>
    </row>
    <row r="992">
      <c r="J992" s="6"/>
      <c r="K992" s="6"/>
      <c r="N992" s="4" t="str">
        <f>IFERROR(__xludf.DUMMYFUNCTION("TEXTJOIN("","", TRUE, FILTER($E$2:$E1000 &amp; $C$2:$C1000, $A$2:$A1000=A992, $B$2:$B1000=B992, $D$2:$D1000&lt;&gt;D992))"),"#N/A")</f>
        <v>#N/A</v>
      </c>
    </row>
    <row r="993">
      <c r="J993" s="6"/>
      <c r="K993" s="6"/>
      <c r="N993" s="4" t="str">
        <f>IFERROR(__xludf.DUMMYFUNCTION("TEXTJOIN("","", TRUE, FILTER($E$2:$E1000 &amp; $C$2:$C1000, $A$2:$A1000=A993, $B$2:$B1000=B993, $D$2:$D1000&lt;&gt;D993))"),"#N/A")</f>
        <v>#N/A</v>
      </c>
    </row>
    <row r="994">
      <c r="J994" s="6"/>
      <c r="K994" s="6"/>
      <c r="N994" s="4" t="str">
        <f>IFERROR(__xludf.DUMMYFUNCTION("TEXTJOIN("","", TRUE, FILTER($E$2:$E1000 &amp; $C$2:$C1000, $A$2:$A1000=A994, $B$2:$B1000=B994, $D$2:$D1000&lt;&gt;D994))"),"#N/A")</f>
        <v>#N/A</v>
      </c>
    </row>
    <row r="995">
      <c r="J995" s="6"/>
      <c r="K995" s="6"/>
      <c r="N995" s="4" t="str">
        <f>IFERROR(__xludf.DUMMYFUNCTION("TEXTJOIN("","", TRUE, FILTER($E$2:$E1000 &amp; $C$2:$C1000, $A$2:$A1000=A995, $B$2:$B1000=B995, $D$2:$D1000&lt;&gt;D995))"),"#N/A")</f>
        <v>#N/A</v>
      </c>
    </row>
    <row r="996">
      <c r="J996" s="6"/>
      <c r="K996" s="6"/>
      <c r="N996" s="4" t="str">
        <f>IFERROR(__xludf.DUMMYFUNCTION("TEXTJOIN("","", TRUE, FILTER($E$2:$E1000 &amp; $C$2:$C1000, $A$2:$A1000=A996, $B$2:$B1000=B996, $D$2:$D1000&lt;&gt;D996))"),"#N/A")</f>
        <v>#N/A</v>
      </c>
    </row>
    <row r="997">
      <c r="J997" s="6"/>
      <c r="K997" s="6"/>
      <c r="N997" s="4" t="str">
        <f>IFERROR(__xludf.DUMMYFUNCTION("TEXTJOIN("","", TRUE, FILTER($E$2:$E1000 &amp; $C$2:$C1000, $A$2:$A1000=A997, $B$2:$B1000=B997, $D$2:$D1000&lt;&gt;D997))"),"#N/A")</f>
        <v>#N/A</v>
      </c>
    </row>
    <row r="998">
      <c r="J998" s="6"/>
      <c r="K998" s="6"/>
      <c r="N998" s="4" t="str">
        <f>IFERROR(__xludf.DUMMYFUNCTION("TEXTJOIN("","", TRUE, FILTER($E$2:$E1000 &amp; $C$2:$C1000, $A$2:$A1000=A998, $B$2:$B1000=B998, $D$2:$D1000&lt;&gt;D998))"),"#N/A")</f>
        <v>#N/A</v>
      </c>
    </row>
    <row r="999">
      <c r="J999" s="6"/>
      <c r="K999" s="6"/>
      <c r="N999" s="4" t="str">
        <f>IFERROR(__xludf.DUMMYFUNCTION("TEXTJOIN("","", TRUE, FILTER($E$2:$E1000 &amp; $C$2:$C1000, $A$2:$A1000=A999, $B$2:$B1000=B999, $D$2:$D1000&lt;&gt;D999))"),"#N/A")</f>
        <v>#N/A</v>
      </c>
    </row>
    <row r="1000">
      <c r="J1000" s="6"/>
      <c r="K1000" s="6"/>
      <c r="N1000" s="4" t="str">
        <f>IFERROR(__xludf.DUMMYFUNCTION("TEXTJOIN("","", TRUE, FILTER($E$2:$E1000 &amp; $C$2:$C1000, $A$2:$A1000=A1000, $B$2:$B1000=B1000, $D$2:$D1000&lt;&gt;D1000))"),"#N/A")</f>
        <v>#N/A</v>
      </c>
    </row>
  </sheetData>
  <dataValidations>
    <dataValidation type="list" allowBlank="1" showErrorMessage="1" sqref="Z2:Z21 R2:R22">
      <formula1>'시트1'!$C$2:$C$1000</formula1>
    </dataValidation>
    <dataValidation type="list" allowBlank="1" showErrorMessage="1" sqref="AA2:AA21 S2:S22">
      <formula1>'시트1'!$AD$2:$AD$600</formula1>
    </dataValidation>
    <dataValidation type="list" allowBlank="1" showErrorMessage="1" sqref="AB2:AB21 T3:T22">
      <formula1>'시트1'!$AE$2:$AE$10000</formula1>
    </dataValidation>
    <dataValidation type="list" allowBlank="1" sqref="T2">
      <formula1>"요네,신드라,트위스티드페이트,야스오,자르반4세"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